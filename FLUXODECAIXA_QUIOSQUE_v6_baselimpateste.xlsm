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SISTEMA FLUXO DE CAIXA QUIOSQUE\"/>
    </mc:Choice>
  </mc:AlternateContent>
  <bookViews>
    <workbookView xWindow="0" yWindow="0" windowWidth="20490" windowHeight="7530" firstSheet="1" activeTab="1"/>
  </bookViews>
  <sheets>
    <sheet name="FUNCIONARIO" sheetId="1" state="veryHidden" r:id="rId1"/>
    <sheet name="Planilha1" sheetId="9" r:id="rId2"/>
    <sheet name="FLUXOFUNCIONARIOS" sheetId="5" state="veryHidden" r:id="rId3"/>
    <sheet name="MESAS" sheetId="2" state="veryHidden" r:id="rId4"/>
    <sheet name="PRODUTOS" sheetId="3" state="veryHidden" r:id="rId5"/>
    <sheet name="CONFIG" sheetId="6" state="veryHidden" r:id="rId6"/>
    <sheet name="FLUXOVENDA" sheetId="4" state="veryHidden" r:id="rId7"/>
    <sheet name="CODVENDA" sheetId="7" state="veryHidden" r:id="rId8"/>
    <sheet name="RESUMO" sheetId="8" state="veryHidden" r:id="rId9"/>
  </sheets>
  <functionGroups builtInGroupCount="18"/>
  <definedNames>
    <definedName name="_xlnm._FilterDatabase" localSheetId="6" hidden="1">FLUXOVENDA!$A$1:$Q$2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8" l="1"/>
  <c r="B21" i="8" s="1"/>
  <c r="B27" i="8" s="1"/>
  <c r="B16" i="8"/>
  <c r="B22" i="8" s="1"/>
  <c r="B28" i="8" s="1"/>
  <c r="B17" i="8"/>
  <c r="B23" i="8" s="1"/>
  <c r="B29" i="8" s="1"/>
  <c r="B18" i="8"/>
  <c r="B24" i="8" s="1"/>
  <c r="B30" i="8" s="1"/>
  <c r="B19" i="8"/>
  <c r="B25" i="8" s="1"/>
  <c r="B31" i="8" s="1"/>
  <c r="B3" i="8" l="1"/>
  <c r="B1" i="8"/>
  <c r="C1" i="8" s="1"/>
  <c r="C27" i="8" l="1"/>
  <c r="C30" i="8"/>
  <c r="C31" i="8"/>
  <c r="C28" i="8"/>
  <c r="C29" i="8"/>
  <c r="C21" i="8"/>
  <c r="D21" i="8" s="1"/>
  <c r="C23" i="8"/>
  <c r="D23" i="8" s="1"/>
  <c r="C24" i="8"/>
  <c r="D24" i="8" s="1"/>
  <c r="C25" i="8"/>
  <c r="D25" i="8" s="1"/>
  <c r="C22" i="8"/>
  <c r="D22" i="8" s="1"/>
  <c r="C15" i="8"/>
  <c r="C16" i="8"/>
  <c r="C18" i="8"/>
  <c r="C17" i="8"/>
  <c r="C19" i="8"/>
  <c r="C10" i="8"/>
  <c r="C11" i="8"/>
  <c r="C3" i="8"/>
  <c r="C9" i="8"/>
  <c r="C7" i="8"/>
  <c r="D7" i="8" s="1"/>
  <c r="C8" i="8"/>
  <c r="D8" i="8" s="1"/>
  <c r="C6" i="8"/>
  <c r="D6" i="8" s="1"/>
  <c r="C2" i="8"/>
  <c r="C5" i="8"/>
  <c r="C4" i="8"/>
  <c r="B4" i="8"/>
  <c r="D27" i="8" l="1"/>
  <c r="D30" i="8"/>
  <c r="D31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<sst xmlns="http://schemas.openxmlformats.org/spreadsheetml/2006/main" count="220" uniqueCount="133">
  <si>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</si>
  <si>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</si>
  <si>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</si>
  <si>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</si>
  <si>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</si>
  <si>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</si>
  <si>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</si>
  <si>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</si>
  <si>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</si>
  <si>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</si>
  <si>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</si>
  <si>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</si>
  <si>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</si>
  <si>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</si>
  <si>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</si>
  <si>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</si>
  <si>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</si>
  <si>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</si>
  <si>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</si>
  <si>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</si>
  <si>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</si>
  <si>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</si>
  <si>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</si>
  <si>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</si>
  <si>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</si>
  <si>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</si>
  <si>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</si>
  <si>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</si>
  <si>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</si>
  <si>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</si>
  <si>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</si>
  <si>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</si>
  <si>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</si>
  <si>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</si>
  <si>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</si>
  <si>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</si>
  <si>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</si>
  <si>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</si>
  <si>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</si>
  <si>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</si>
  <si>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</si>
  <si>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</si>
  <si>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</si>
  <si>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</si>
  <si>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</si>
  <si>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</si>
  <si>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</si>
  <si>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</si>
  <si>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</si>
  <si>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</si>
  <si>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</si>
  <si>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</si>
  <si>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</si>
  <si>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</si>
  <si>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</si>
  <si>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</si>
  <si>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</si>
  <si>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</si>
  <si>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</si>
  <si>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</si>
  <si>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</si>
  <si>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</si>
  <si>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</si>
  <si>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</si>
  <si>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</si>
  <si>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</si>
  <si>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</si>
  <si>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</si>
  <si>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</si>
  <si>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</si>
  <si>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</si>
  <si>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</si>
  <si>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</si>
  <si>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</si>
  <si>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</si>
  <si>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</si>
  <si>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</si>
  <si>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</si>
  <si>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</si>
  <si>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</si>
  <si>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</si>
  <si>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</si>
  <si>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</si>
  <si>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</si>
  <si>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</si>
  <si>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</si>
  <si>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</si>
  <si>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</si>
  <si>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</si>
  <si>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</si>
  <si>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</si>
  <si>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</si>
  <si>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</si>
  <si>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</si>
  <si>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</si>
  <si>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</si>
  <si>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</si>
  <si>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</si>
  <si>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</si>
  <si>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</si>
  <si>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</si>
  <si>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</si>
  <si>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</si>
  <si>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</si>
  <si>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</si>
  <si>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</si>
  <si>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</si>
  <si>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</si>
  <si>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</si>
  <si>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</si>
  <si>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</si>
  <si>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</si>
  <si>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</si>
  <si>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</si>
  <si>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</si>
  <si>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</si>
  <si>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</si>
  <si>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</si>
  <si>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</si>
  <si>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</si>
  <si>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</si>
  <si>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</si>
  <si>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</si>
  <si>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</si>
  <si>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</si>
  <si>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</si>
  <si>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</si>
  <si>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</si>
  <si>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</si>
  <si>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VLR SEM%</t>
  </si>
  <si>
    <t>ABERTO</t>
  </si>
  <si>
    <t>NOMECLIENTE</t>
  </si>
  <si>
    <t>VALOR À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</si>
</sst>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58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59</v>
      </c>
    </row>
    <row r="5" spans="1:7" x14ac:dyDescent="0.25">
      <c r="A5" s="11">
        <v>4</v>
      </c>
      <c r="B5" t="s">
        <v>60</v>
      </c>
    </row>
    <row r="6" spans="1:7" x14ac:dyDescent="0.25">
      <c r="A6" s="11">
        <v>5</v>
      </c>
      <c r="B6" t="s">
        <v>106</v>
      </c>
    </row>
    <row r="7" spans="1:7" x14ac:dyDescent="0.25">
      <c r="A7" s="11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tabSelected="1" workbookViewId="0">
      <selection activeCell="K15" sqref="K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F12" sqref="F12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24" t="s">
        <v>0</v>
      </c>
      <c r="B1" s="25" t="s">
        <v>17</v>
      </c>
      <c r="C1" s="26" t="s">
        <v>25</v>
      </c>
    </row>
    <row r="2" spans="1:6" x14ac:dyDescent="0.25">
      <c r="A2" s="2">
        <v>1</v>
      </c>
      <c r="B2" t="s">
        <v>34</v>
      </c>
      <c r="C2" t="s">
        <v>98</v>
      </c>
      <c r="F2" s="2"/>
    </row>
    <row r="3" spans="1:6" x14ac:dyDescent="0.25">
      <c r="A3" s="2">
        <v>2</v>
      </c>
      <c r="B3" t="s">
        <v>35</v>
      </c>
      <c r="C3" t="s">
        <v>98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98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topLeftCell="A13" workbookViewId="0">
      <selection activeCell="C5" sqref="C5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4" t="s">
        <v>18</v>
      </c>
      <c r="B1" s="25" t="s">
        <v>19</v>
      </c>
      <c r="C1" s="26" t="s">
        <v>26</v>
      </c>
      <c r="D1" s="24" t="s">
        <v>52</v>
      </c>
      <c r="E1" s="25" t="s">
        <v>57</v>
      </c>
    </row>
    <row r="2" spans="1:5" x14ac:dyDescent="0.25">
      <c r="A2">
        <v>1</v>
      </c>
      <c r="B2" t="s">
        <v>64</v>
      </c>
      <c r="C2" t="s">
        <v>61</v>
      </c>
      <c r="D2" s="8">
        <v>3.5</v>
      </c>
    </row>
    <row r="3" spans="1:5" x14ac:dyDescent="0.25">
      <c r="A3">
        <v>2</v>
      </c>
      <c r="B3" t="s">
        <v>65</v>
      </c>
      <c r="C3" t="s">
        <v>61</v>
      </c>
      <c r="D3" s="8">
        <v>3.5</v>
      </c>
    </row>
    <row r="4" spans="1:5" x14ac:dyDescent="0.25">
      <c r="A4">
        <v>3</v>
      </c>
      <c r="B4" t="s">
        <v>66</v>
      </c>
      <c r="C4" t="s">
        <v>61</v>
      </c>
      <c r="D4" s="8">
        <v>3.5</v>
      </c>
    </row>
    <row r="5" spans="1:5" x14ac:dyDescent="0.25">
      <c r="A5">
        <v>4</v>
      </c>
      <c r="B5" t="s">
        <v>76</v>
      </c>
      <c r="C5" t="s">
        <v>61</v>
      </c>
      <c r="D5" s="8">
        <v>7</v>
      </c>
    </row>
    <row r="6" spans="1:5" x14ac:dyDescent="0.25">
      <c r="A6">
        <v>5</v>
      </c>
      <c r="B6" t="s">
        <v>67</v>
      </c>
      <c r="C6" t="s">
        <v>31</v>
      </c>
      <c r="D6" s="8">
        <v>4</v>
      </c>
    </row>
    <row r="7" spans="1:5" x14ac:dyDescent="0.25">
      <c r="A7">
        <v>6</v>
      </c>
      <c r="B7" t="s">
        <v>68</v>
      </c>
      <c r="C7" t="s">
        <v>31</v>
      </c>
      <c r="D7" s="8">
        <v>5</v>
      </c>
    </row>
    <row r="8" spans="1:5" x14ac:dyDescent="0.25">
      <c r="A8">
        <v>7</v>
      </c>
      <c r="B8" t="s">
        <v>53</v>
      </c>
      <c r="C8" t="s">
        <v>31</v>
      </c>
      <c r="D8" s="8">
        <v>6</v>
      </c>
    </row>
    <row r="9" spans="1:5" x14ac:dyDescent="0.25">
      <c r="A9">
        <v>8</v>
      </c>
      <c r="B9" t="s">
        <v>74</v>
      </c>
      <c r="C9" t="s">
        <v>62</v>
      </c>
      <c r="D9" s="8">
        <v>5</v>
      </c>
    </row>
    <row r="10" spans="1:5" x14ac:dyDescent="0.25">
      <c r="A10">
        <v>9</v>
      </c>
      <c r="B10" t="s">
        <v>77</v>
      </c>
      <c r="C10" t="s">
        <v>82</v>
      </c>
      <c r="D10" s="8">
        <v>6</v>
      </c>
    </row>
    <row r="11" spans="1:5" x14ac:dyDescent="0.25">
      <c r="A11">
        <v>10</v>
      </c>
      <c r="B11" t="s">
        <v>69</v>
      </c>
      <c r="C11" t="s">
        <v>62</v>
      </c>
      <c r="D11" s="8">
        <v>5</v>
      </c>
    </row>
    <row r="12" spans="1:5" x14ac:dyDescent="0.25">
      <c r="A12">
        <v>11</v>
      </c>
      <c r="B12" t="s">
        <v>70</v>
      </c>
      <c r="C12" t="s">
        <v>62</v>
      </c>
      <c r="D12" s="8">
        <v>5</v>
      </c>
    </row>
    <row r="13" spans="1:5" x14ac:dyDescent="0.25">
      <c r="A13">
        <v>12</v>
      </c>
      <c r="B13" t="s">
        <v>71</v>
      </c>
      <c r="C13" t="s">
        <v>62</v>
      </c>
      <c r="D13" s="8">
        <v>5</v>
      </c>
    </row>
    <row r="14" spans="1:5" x14ac:dyDescent="0.25">
      <c r="A14">
        <v>13</v>
      </c>
      <c r="B14" t="s">
        <v>72</v>
      </c>
      <c r="C14" t="s">
        <v>62</v>
      </c>
      <c r="D14" s="8">
        <v>5</v>
      </c>
    </row>
    <row r="15" spans="1:5" x14ac:dyDescent="0.25">
      <c r="A15">
        <v>14</v>
      </c>
      <c r="B15" t="s">
        <v>78</v>
      </c>
      <c r="C15" t="s">
        <v>31</v>
      </c>
      <c r="D15" s="8">
        <v>3</v>
      </c>
    </row>
    <row r="16" spans="1:5" x14ac:dyDescent="0.25">
      <c r="A16">
        <v>15</v>
      </c>
      <c r="B16" t="s">
        <v>79</v>
      </c>
      <c r="C16" t="s">
        <v>31</v>
      </c>
      <c r="D16" s="8">
        <v>5</v>
      </c>
    </row>
    <row r="17" spans="1:4" x14ac:dyDescent="0.25">
      <c r="A17">
        <v>16</v>
      </c>
      <c r="B17" t="s">
        <v>80</v>
      </c>
      <c r="C17" t="s">
        <v>31</v>
      </c>
      <c r="D17" s="8">
        <v>3.5</v>
      </c>
    </row>
    <row r="18" spans="1:4" x14ac:dyDescent="0.25">
      <c r="A18">
        <v>17</v>
      </c>
      <c r="B18" t="s">
        <v>73</v>
      </c>
      <c r="C18" t="s">
        <v>63</v>
      </c>
      <c r="D18" s="8">
        <v>15</v>
      </c>
    </row>
    <row r="19" spans="1:4" x14ac:dyDescent="0.25">
      <c r="A19">
        <v>18</v>
      </c>
      <c r="B19" t="s">
        <v>75</v>
      </c>
      <c r="C19" t="s">
        <v>63</v>
      </c>
      <c r="D19" s="8">
        <v>15</v>
      </c>
    </row>
    <row r="20" spans="1:4" x14ac:dyDescent="0.25">
      <c r="A20">
        <v>19</v>
      </c>
      <c r="B20" t="s">
        <v>81</v>
      </c>
      <c r="C20" t="s">
        <v>63</v>
      </c>
      <c r="D20" s="8">
        <v>10</v>
      </c>
    </row>
    <row r="21" spans="1:4" x14ac:dyDescent="0.25">
      <c r="A21">
        <v>20</v>
      </c>
      <c r="B21" t="s">
        <v>83</v>
      </c>
      <c r="C21" t="s">
        <v>28</v>
      </c>
      <c r="D21" s="8">
        <v>15</v>
      </c>
    </row>
    <row r="22" spans="1:4" x14ac:dyDescent="0.25">
      <c r="A22">
        <v>21</v>
      </c>
      <c r="B22" t="s">
        <v>84</v>
      </c>
      <c r="C22" t="s">
        <v>28</v>
      </c>
      <c r="D22" s="8">
        <v>15</v>
      </c>
    </row>
    <row r="23" spans="1:4" x14ac:dyDescent="0.25">
      <c r="A23">
        <v>22</v>
      </c>
      <c r="B23" t="s">
        <v>85</v>
      </c>
      <c r="C23" t="s">
        <v>32</v>
      </c>
      <c r="D23" s="8">
        <v>80</v>
      </c>
    </row>
    <row r="24" spans="1:4" x14ac:dyDescent="0.25">
      <c r="A24">
        <v>23</v>
      </c>
      <c r="B24" t="s">
        <v>86</v>
      </c>
      <c r="C24" t="s">
        <v>32</v>
      </c>
      <c r="D24" s="8">
        <v>80</v>
      </c>
    </row>
    <row r="25" spans="1:4" x14ac:dyDescent="0.25">
      <c r="A25">
        <v>24</v>
      </c>
      <c r="B25" t="s">
        <v>87</v>
      </c>
      <c r="C25" t="s">
        <v>33</v>
      </c>
      <c r="D25" s="8">
        <v>60</v>
      </c>
    </row>
    <row r="26" spans="1:4" x14ac:dyDescent="0.25">
      <c r="A26">
        <v>25</v>
      </c>
      <c r="B26" t="s">
        <v>88</v>
      </c>
      <c r="C26" t="s">
        <v>33</v>
      </c>
      <c r="D26" s="8">
        <v>40</v>
      </c>
    </row>
    <row r="27" spans="1:4" x14ac:dyDescent="0.25">
      <c r="A27">
        <v>26</v>
      </c>
      <c r="B27" t="s">
        <v>89</v>
      </c>
      <c r="C27" t="s">
        <v>33</v>
      </c>
      <c r="D27" s="8">
        <v>40</v>
      </c>
    </row>
    <row r="28" spans="1:4" x14ac:dyDescent="0.25">
      <c r="A28">
        <v>27</v>
      </c>
      <c r="B28" t="s">
        <v>90</v>
      </c>
      <c r="C28" t="s">
        <v>33</v>
      </c>
      <c r="D28" s="8">
        <v>40</v>
      </c>
    </row>
    <row r="29" spans="1:4" x14ac:dyDescent="0.25">
      <c r="A29">
        <v>28</v>
      </c>
      <c r="B29" t="s">
        <v>91</v>
      </c>
      <c r="C29" t="s">
        <v>33</v>
      </c>
      <c r="D29" s="8">
        <v>50</v>
      </c>
    </row>
    <row r="30" spans="1:4" x14ac:dyDescent="0.25">
      <c r="A30">
        <v>29</v>
      </c>
      <c r="B30" t="s">
        <v>92</v>
      </c>
      <c r="C30" t="s">
        <v>33</v>
      </c>
      <c r="D30" s="8">
        <v>20</v>
      </c>
    </row>
    <row r="31" spans="1:4" x14ac:dyDescent="0.25">
      <c r="A31">
        <v>30</v>
      </c>
      <c r="B31" t="s">
        <v>93</v>
      </c>
      <c r="C31" t="s">
        <v>33</v>
      </c>
      <c r="D31" s="8">
        <v>20</v>
      </c>
    </row>
    <row r="32" spans="1:4" x14ac:dyDescent="0.25">
      <c r="A32">
        <v>31</v>
      </c>
      <c r="B32" t="s">
        <v>94</v>
      </c>
      <c r="C32" t="s">
        <v>33</v>
      </c>
      <c r="D32" s="8">
        <v>40</v>
      </c>
    </row>
    <row r="33" spans="1:4" x14ac:dyDescent="0.25">
      <c r="A33">
        <v>32</v>
      </c>
      <c r="B33" t="s">
        <v>95</v>
      </c>
      <c r="C33" t="s">
        <v>33</v>
      </c>
      <c r="D33" s="8">
        <v>20</v>
      </c>
    </row>
    <row r="34" spans="1:4" x14ac:dyDescent="0.25">
      <c r="A34">
        <v>33</v>
      </c>
      <c r="B34" t="s">
        <v>96</v>
      </c>
      <c r="C34" t="s">
        <v>33</v>
      </c>
      <c r="D34" s="8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2"/>
  <sheetViews>
    <sheetView workbookViewId="0">
      <selection activeCell="G3" sqref="G3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s="25" t="s">
        <v>27</v>
      </c>
      <c r="B1" s="25" t="s">
        <v>26</v>
      </c>
    </row>
    <row r="2" spans="1:7" x14ac:dyDescent="0.25">
      <c r="A2">
        <v>1</v>
      </c>
      <c r="B2" t="s">
        <v>32</v>
      </c>
      <c r="G2" s="17" t="s">
        <v>103</v>
      </c>
    </row>
    <row r="3" spans="1:7" x14ac:dyDescent="0.25">
      <c r="A3">
        <v>2</v>
      </c>
      <c r="B3" t="s">
        <v>28</v>
      </c>
      <c r="G3" s="17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  <c r="G5" t="s">
        <v>130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2"/>
  <sheetViews>
    <sheetView topLeftCell="B1" zoomScale="80" zoomScaleNormal="80" workbookViewId="0">
      <pane ySplit="1" topLeftCell="A2" activePane="bottomLeft" state="frozen"/>
      <selection pane="bottomLeft" activeCell="F20" sqref="F20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9.85546875" style="12" bestFit="1" customWidth="1"/>
    <col min="13" max="13" width="8.425781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</cols>
  <sheetData>
    <row r="1" spans="1:18" x14ac:dyDescent="0.25">
      <c r="A1" s="25" t="s">
        <v>0</v>
      </c>
      <c r="B1" s="25" t="s">
        <v>22</v>
      </c>
      <c r="C1" s="25" t="s">
        <v>20</v>
      </c>
      <c r="D1" s="25" t="s">
        <v>18</v>
      </c>
      <c r="E1" s="25" t="s">
        <v>19</v>
      </c>
      <c r="F1" s="25" t="s">
        <v>26</v>
      </c>
      <c r="G1" s="25" t="s">
        <v>99</v>
      </c>
      <c r="H1" s="25" t="s">
        <v>21</v>
      </c>
      <c r="I1" s="25" t="s">
        <v>23</v>
      </c>
      <c r="J1" s="25" t="s">
        <v>24</v>
      </c>
      <c r="K1" s="25" t="s">
        <v>54</v>
      </c>
      <c r="L1" s="25" t="s">
        <v>100</v>
      </c>
      <c r="M1" s="25" t="s">
        <v>17</v>
      </c>
      <c r="N1" s="25" t="s">
        <v>25</v>
      </c>
      <c r="O1" s="25" t="s">
        <v>101</v>
      </c>
      <c r="P1" s="25" t="s">
        <v>102</v>
      </c>
      <c r="Q1" s="25" t="s">
        <v>117</v>
      </c>
      <c r="R1" s="25" t="s">
        <v>105</v>
      </c>
    </row>
    <row r="2" spans="1:18" x14ac:dyDescent="0.25">
      <c r="A2">
        <v>1</v>
      </c>
      <c r="B2" s="9">
        <v>42722</v>
      </c>
      <c r="C2" s="7">
        <v>0</v>
      </c>
      <c r="D2">
        <v>0</v>
      </c>
      <c r="E2" t="s">
        <v>66</v>
      </c>
      <c r="F2" t="s">
        <v>61</v>
      </c>
      <c r="H2" t="s">
        <v>58</v>
      </c>
      <c r="I2" s="8">
        <v>0</v>
      </c>
      <c r="J2">
        <v>0</v>
      </c>
      <c r="K2" s="8">
        <v>0</v>
      </c>
      <c r="N2" t="s">
        <v>97</v>
      </c>
      <c r="O2" s="12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1"/>
  <sheetViews>
    <sheetView zoomScale="90" zoomScaleNormal="90" workbookViewId="0">
      <pane ySplit="1" topLeftCell="A2" activePane="bottomLeft" state="frozen"/>
      <selection activeCell="C1" sqref="C1"/>
      <selection pane="bottomLeft" activeCell="E14" sqref="E14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2.28515625" style="14" customWidth="1"/>
    <col min="4" max="4" width="16.140625" style="16" customWidth="1"/>
    <col min="5" max="5" width="11.7109375" bestFit="1" customWidth="1"/>
    <col min="6" max="6" width="23.7109375" customWidth="1"/>
    <col min="7" max="7" width="6.140625" style="15" bestFit="1" customWidth="1"/>
    <col min="8" max="8" width="14.42578125" style="18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9" customWidth="1"/>
    <col min="14" max="14" width="4.140625" style="2" bestFit="1" customWidth="1"/>
    <col min="15" max="15" width="9.140625" style="12" bestFit="1" customWidth="1"/>
    <col min="16" max="16" width="10.140625" style="21" bestFit="1" customWidth="1"/>
    <col min="17" max="17" width="18.28515625" bestFit="1" customWidth="1"/>
  </cols>
  <sheetData>
    <row r="1" spans="1:17" s="35" customFormat="1" ht="30" x14ac:dyDescent="0.25">
      <c r="A1" s="24" t="s">
        <v>20</v>
      </c>
      <c r="B1" s="25" t="s">
        <v>100</v>
      </c>
      <c r="C1" s="26" t="s">
        <v>17</v>
      </c>
      <c r="D1" s="23" t="s">
        <v>132</v>
      </c>
      <c r="E1" s="26" t="s">
        <v>25</v>
      </c>
      <c r="F1" s="27" t="s">
        <v>104</v>
      </c>
      <c r="G1" s="28" t="s">
        <v>105</v>
      </c>
      <c r="H1" s="29" t="s">
        <v>107</v>
      </c>
      <c r="I1" s="30" t="s">
        <v>110</v>
      </c>
      <c r="J1" s="31" t="s">
        <v>109</v>
      </c>
      <c r="K1" s="31" t="s">
        <v>111</v>
      </c>
      <c r="L1" s="27" t="s">
        <v>108</v>
      </c>
      <c r="M1" s="32" t="s">
        <v>112</v>
      </c>
      <c r="N1" s="33" t="s">
        <v>117</v>
      </c>
      <c r="O1" s="24" t="s">
        <v>101</v>
      </c>
      <c r="P1" s="34" t="s">
        <v>129</v>
      </c>
      <c r="Q1" s="34" t="s">
        <v>131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31"/>
  <sheetViews>
    <sheetView workbookViewId="0">
      <selection activeCell="E9" sqref="E9"/>
    </sheetView>
  </sheetViews>
  <sheetFormatPr defaultRowHeight="15" x14ac:dyDescent="0.25"/>
  <cols>
    <col min="1" max="1" width="38.85546875" bestFit="1" customWidth="1"/>
    <col min="2" max="2" width="19.28515625" style="7" bestFit="1" customWidth="1"/>
    <col min="3" max="3" width="11.7109375" style="20" bestFit="1" customWidth="1"/>
    <col min="4" max="4" width="9.140625" style="22"/>
  </cols>
  <sheetData>
    <row r="1" spans="1:4" x14ac:dyDescent="0.25">
      <c r="A1" t="s">
        <v>114</v>
      </c>
      <c r="B1" s="7">
        <f ca="1">DAY(TODAY())</f>
        <v>25</v>
      </c>
      <c r="C1" s="20">
        <f ca="1">IF(CODVENDA!N:N = "", 0, SUMIF(CODVENDA!N:N,RESUMO!B1,CODVENDA!K:K))</f>
        <v>0</v>
      </c>
    </row>
    <row r="2" spans="1:4" x14ac:dyDescent="0.25">
      <c r="A2" t="s">
        <v>118</v>
      </c>
      <c r="C2" s="20">
        <f ca="1">SUMIF(CODVENDA!O:O,RESUMO!B3,CODVENDA!K:K)</f>
        <v>0</v>
      </c>
    </row>
    <row r="3" spans="1:4" x14ac:dyDescent="0.25">
      <c r="A3" t="s">
        <v>113</v>
      </c>
      <c r="B3" s="7">
        <f ca="1">MONTH(TODAY())</f>
        <v>12</v>
      </c>
      <c r="C3" s="20">
        <f ca="1">SUMIF(FLUXOVENDA!O:O,RESUMO!B3,FLUXOVENDA!K:K)</f>
        <v>0</v>
      </c>
    </row>
    <row r="4" spans="1:4" x14ac:dyDescent="0.25">
      <c r="A4" t="s">
        <v>115</v>
      </c>
      <c r="B4" s="7">
        <f ca="1">B1</f>
        <v>25</v>
      </c>
      <c r="C4" s="20">
        <f ca="1">SUMIF(CODVENDA!N:N,RESUMO!B1,CODVENDA!J:J)</f>
        <v>0</v>
      </c>
    </row>
    <row r="5" spans="1:4" x14ac:dyDescent="0.25">
      <c r="A5" t="s">
        <v>116</v>
      </c>
      <c r="C5" s="20">
        <f ca="1">SUMIF(CODVENDA!O:O,RESUMO!B3,CODVENDA!J:J)</f>
        <v>0</v>
      </c>
    </row>
    <row r="6" spans="1:4" x14ac:dyDescent="0.25">
      <c r="A6" t="s">
        <v>121</v>
      </c>
      <c r="B6" s="7" t="s">
        <v>119</v>
      </c>
      <c r="C6" s="20">
        <f ca="1">SUMIFS(CODVENDA!K:K,CODVENDA!L:L,RESUMO!B6,CODVENDA!N:N,RESUMO!B1)</f>
        <v>0</v>
      </c>
      <c r="D6" s="22">
        <f ca="1">IF($C$1=0,0,C6/$C$1)</f>
        <v>0</v>
      </c>
    </row>
    <row r="7" spans="1:4" x14ac:dyDescent="0.25">
      <c r="A7" t="s">
        <v>122</v>
      </c>
      <c r="B7" s="7" t="s">
        <v>120</v>
      </c>
      <c r="C7" s="20">
        <f ca="1">SUMIFS(CODVENDA!K:K,CODVENDA!L:L,RESUMO!B7,CODVENDA!N:N,RESUMO!B1)</f>
        <v>0</v>
      </c>
      <c r="D7" s="22">
        <f ca="1">IF($C$1=0,0,C7/$C$1)</f>
        <v>0</v>
      </c>
    </row>
    <row r="8" spans="1:4" x14ac:dyDescent="0.25">
      <c r="A8" t="s">
        <v>125</v>
      </c>
      <c r="B8" s="7" t="s">
        <v>126</v>
      </c>
      <c r="C8" s="20">
        <f ca="1">SUMIFS(CODVENDA!K:K,CODVENDA!L:L,RESUMO!B8,CODVENDA!N:N,RESUMO!B1)</f>
        <v>0</v>
      </c>
      <c r="D8" s="22">
        <f ca="1">IF($C$1=0,0,C8/$C$1)</f>
        <v>0</v>
      </c>
    </row>
    <row r="9" spans="1:4" x14ac:dyDescent="0.25">
      <c r="A9" t="s">
        <v>123</v>
      </c>
      <c r="B9" s="7" t="s">
        <v>119</v>
      </c>
      <c r="C9" s="20">
        <f ca="1">SUMIFS(CODVENDA!K:K,CODVENDA!L:L,RESUMO!B6,CODVENDA!O:O,RESUMO!B3)</f>
        <v>0</v>
      </c>
    </row>
    <row r="10" spans="1:4" x14ac:dyDescent="0.25">
      <c r="A10" t="s">
        <v>124</v>
      </c>
      <c r="B10" s="7" t="s">
        <v>120</v>
      </c>
      <c r="C10" s="20">
        <f ca="1">SUMIFS(CODVENDA!K:K,CODVENDA!L:L,RESUMO!B7,CODVENDA!O:O,RESUMO!B3)</f>
        <v>0</v>
      </c>
    </row>
    <row r="11" spans="1:4" x14ac:dyDescent="0.25">
      <c r="A11" s="1" t="s">
        <v>9</v>
      </c>
      <c r="B11" s="7" t="s">
        <v>126</v>
      </c>
      <c r="C11" s="20">
        <f ca="1">SUMIFS(CODVENDA!K:K,CODVENDA!L:L,RESUMO!B8,CODVENDA!O:O,RESUMO!B3)</f>
        <v>0</v>
      </c>
    </row>
    <row r="12" spans="1:4" x14ac:dyDescent="0.25">
      <c r="A12" s="1"/>
    </row>
    <row r="14" spans="1:4" x14ac:dyDescent="0.25">
      <c r="A14" t="s">
        <v>127</v>
      </c>
    </row>
    <row r="15" spans="1:4" x14ac:dyDescent="0.25">
      <c r="A15" t="s">
        <v>128</v>
      </c>
      <c r="B15" s="7" t="str">
        <f>FUNCIONARIO!B2</f>
        <v>DENIS BARRETO</v>
      </c>
      <c r="C15" s="20">
        <f ca="1">SUMIFS(FLUXOVENDA!K:K,FLUXOVENDA!H:H,RESUMO!B15,FLUXOVENDA!O:O,RESUMO!$B$3)</f>
        <v>0</v>
      </c>
      <c r="D15" s="22" t="str">
        <f ca="1">IF($C$2=0, "-",C15/$C$2)</f>
        <v>-</v>
      </c>
    </row>
    <row r="16" spans="1:4" x14ac:dyDescent="0.25">
      <c r="A16" t="s">
        <v>128</v>
      </c>
      <c r="B16" s="7" t="str">
        <f>FUNCIONARIO!B3</f>
        <v>WELLINGTON SOUZA</v>
      </c>
      <c r="C16" s="20">
        <f ca="1">SUMIFS(FLUXOVENDA!K:K,FLUXOVENDA!H:H,RESUMO!B16,FLUXOVENDA!O:O,RESUMO!$B$3)</f>
        <v>0</v>
      </c>
      <c r="D16" s="22" t="str">
        <f ca="1">IF($C$2=0, "-",C16/$C$2)</f>
        <v>-</v>
      </c>
    </row>
    <row r="17" spans="1:4" x14ac:dyDescent="0.25">
      <c r="A17" t="s">
        <v>128</v>
      </c>
      <c r="B17" s="7" t="str">
        <f>FUNCIONARIO!B4</f>
        <v>DAIANE BARRETO</v>
      </c>
      <c r="C17" s="20">
        <f ca="1">SUMIFS(FLUXOVENDA!K:K,FLUXOVENDA!H:H,RESUMO!B17,FLUXOVENDA!O:O,RESUMO!$B$3)</f>
        <v>0</v>
      </c>
      <c r="D17" s="22" t="str">
        <f ca="1">IF($C$2=0, "-",C17/$C$2)</f>
        <v>-</v>
      </c>
    </row>
    <row r="18" spans="1:4" x14ac:dyDescent="0.25">
      <c r="A18" t="s">
        <v>128</v>
      </c>
      <c r="B18" s="7" t="str">
        <f>FUNCIONARIO!B5</f>
        <v>WAGNER GOMES</v>
      </c>
      <c r="C18" s="20">
        <f ca="1">SUMIFS(FLUXOVENDA!K:K,FLUXOVENDA!H:H,RESUMO!B18,FLUXOVENDA!O:O,RESUMO!$B$3)</f>
        <v>0</v>
      </c>
      <c r="D18" s="22" t="str">
        <f ca="1">IF($C$2=0, "-",C18/$C$2)</f>
        <v>-</v>
      </c>
    </row>
    <row r="19" spans="1:4" x14ac:dyDescent="0.25">
      <c r="A19" t="s">
        <v>128</v>
      </c>
      <c r="B19" s="7" t="str">
        <f>FUNCIONARIO!B6</f>
        <v>CLIENTE</v>
      </c>
      <c r="C19" s="20">
        <f ca="1">SUMIFS(FLUXOVENDA!K:K,FLUXOVENDA!H:H,RESUMO!B19,FLUXOVENDA!O:O,RESUMO!$B$3)</f>
        <v>0</v>
      </c>
      <c r="D19" s="22" t="str">
        <f ca="1">IF($C$2=0, "-",C19/$C$2)</f>
        <v>-</v>
      </c>
    </row>
    <row r="21" spans="1:4" x14ac:dyDescent="0.25">
      <c r="A21" t="s">
        <v>117</v>
      </c>
      <c r="B21" s="7" t="str">
        <f>B15</f>
        <v>DENIS BARRETO</v>
      </c>
      <c r="C21" s="20">
        <f ca="1">SUMIFS(FLUXOVENDA!K:K,FLUXOVENDA!Q:Q,RESUMO!$B$1,FLUXOVENDA!H:H,RESUMO!B21)</f>
        <v>0</v>
      </c>
      <c r="D21" s="22">
        <f ca="1">IF($C$1=0,0,C21/$C$1)</f>
        <v>0</v>
      </c>
    </row>
    <row r="22" spans="1:4" x14ac:dyDescent="0.25">
      <c r="A22" t="s">
        <v>117</v>
      </c>
      <c r="B22" s="7" t="str">
        <f>B16</f>
        <v>WELLINGTON SOUZA</v>
      </c>
      <c r="C22" s="20">
        <f ca="1">SUMIFS(FLUXOVENDA!K:K,FLUXOVENDA!Q:Q,RESUMO!$B$1,FLUXOVENDA!H:H,RESUMO!B22)</f>
        <v>0</v>
      </c>
      <c r="D22" s="22">
        <f ca="1">IF($C$1=0,0,C22/$C$1)</f>
        <v>0</v>
      </c>
    </row>
    <row r="23" spans="1:4" x14ac:dyDescent="0.25">
      <c r="A23" t="s">
        <v>117</v>
      </c>
      <c r="B23" s="7" t="str">
        <f>B17</f>
        <v>DAIANE BARRETO</v>
      </c>
      <c r="C23" s="20">
        <f ca="1">SUMIFS(FLUXOVENDA!K:K,FLUXOVENDA!Q:Q,RESUMO!$B$1,FLUXOVENDA!H:H,RESUMO!B23)</f>
        <v>0</v>
      </c>
      <c r="D23" s="22">
        <f ca="1">IF($C$1=0,0,C23/$C$1)</f>
        <v>0</v>
      </c>
    </row>
    <row r="24" spans="1:4" x14ac:dyDescent="0.25">
      <c r="A24" t="s">
        <v>117</v>
      </c>
      <c r="B24" s="7" t="str">
        <f>B18</f>
        <v>WAGNER GOMES</v>
      </c>
      <c r="C24" s="20">
        <f ca="1">SUMIFS(FLUXOVENDA!K:K,FLUXOVENDA!Q:Q,RESUMO!$B$1,FLUXOVENDA!H:H,RESUMO!B24)</f>
        <v>0</v>
      </c>
      <c r="D24" s="22">
        <f ca="1">IF($C$1=0,0,C24/$C$1)</f>
        <v>0</v>
      </c>
    </row>
    <row r="25" spans="1:4" x14ac:dyDescent="0.25">
      <c r="B25" s="7" t="str">
        <f>B19</f>
        <v>CLIENTE</v>
      </c>
      <c r="C25" s="20">
        <f ca="1">SUMIFS(FLUXOVENDA!K:K,FLUXOVENDA!Q:Q,RESUMO!$B$1,FLUXOVENDA!H:H,RESUMO!B25)</f>
        <v>0</v>
      </c>
      <c r="D25" s="22">
        <f ca="1">IF($C$1=0,0,C25/$C$1)</f>
        <v>0</v>
      </c>
    </row>
    <row r="27" spans="1:4" x14ac:dyDescent="0.25">
      <c r="A27" t="s">
        <v>101</v>
      </c>
      <c r="B27" s="7" t="str">
        <f>B21</f>
        <v>DENIS BARRETO</v>
      </c>
      <c r="C27" s="20">
        <f ca="1">SUMIFS(FLUXOVENDA!K:K,FLUXOVENDA!O:O,RESUMO!$B$3,FLUXOVENDA!H:H,RESUMO!B27)</f>
        <v>0</v>
      </c>
      <c r="D27" s="22" t="str">
        <f ca="1">IF($C$2=0,"-",C27/$C$2)</f>
        <v>-</v>
      </c>
    </row>
    <row r="28" spans="1:4" x14ac:dyDescent="0.25">
      <c r="A28" t="s">
        <v>101</v>
      </c>
      <c r="B28" s="7" t="str">
        <f>B22</f>
        <v>WELLINGTON SOUZA</v>
      </c>
      <c r="C28" s="20">
        <f ca="1">SUMIFS(FLUXOVENDA!K:K,FLUXOVENDA!O:O,RESUMO!$B$3,FLUXOVENDA!H:H,RESUMO!B28)</f>
        <v>0</v>
      </c>
      <c r="D28" s="22" t="str">
        <f ca="1">IF($C$2=0,"-",C28/$C$2)</f>
        <v>-</v>
      </c>
    </row>
    <row r="29" spans="1:4" x14ac:dyDescent="0.25">
      <c r="A29" t="s">
        <v>101</v>
      </c>
      <c r="B29" s="7" t="str">
        <f>B23</f>
        <v>DAIANE BARRETO</v>
      </c>
      <c r="C29" s="20">
        <f ca="1">SUMIFS(FLUXOVENDA!K:K,FLUXOVENDA!O:O,RESUMO!$B$3,FLUXOVENDA!H:H,RESUMO!B29)</f>
        <v>0</v>
      </c>
      <c r="D29" s="22" t="str">
        <f ca="1">IF($C$2=0,"-",C29/$C$2)</f>
        <v>-</v>
      </c>
    </row>
    <row r="30" spans="1:4" x14ac:dyDescent="0.25">
      <c r="A30" t="s">
        <v>101</v>
      </c>
      <c r="B30" s="7" t="str">
        <f>B24</f>
        <v>WAGNER GOMES</v>
      </c>
      <c r="C30" s="20">
        <f ca="1">SUMIFS(FLUXOVENDA!K:K,FLUXOVENDA!O:O,RESUMO!$B$3,FLUXOVENDA!H:H,RESUMO!B30)</f>
        <v>0</v>
      </c>
      <c r="D30" s="22" t="str">
        <f ca="1">IF($C$2=0,"-",C30/$C$2)</f>
        <v>-</v>
      </c>
    </row>
    <row r="31" spans="1:4" x14ac:dyDescent="0.25">
      <c r="A31" t="s">
        <v>101</v>
      </c>
      <c r="B31" s="7" t="str">
        <f>B25</f>
        <v>CLIENTE</v>
      </c>
      <c r="C31" s="20">
        <f ca="1">SUMIFS(FLUXOVENDA!K:K,FLUXOVENDA!O:O,RESUMO!$B$3,FLUXOVENDA!H:H,RESUMO!B31)</f>
        <v>0</v>
      </c>
      <c r="D31" s="22" t="str">
        <f ca="1">IF($C$2=0,"-",C31/$C$2)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2016-12-26T00:45:45Z</dcterms:modified>
</cp:coreProperties>
</file>