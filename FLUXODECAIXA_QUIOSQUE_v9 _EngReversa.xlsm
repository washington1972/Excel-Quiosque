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228" codeName="{EFFCB103-AD96-A003-248E-DF2DB03C9060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souza\Documents\hd2\Arquivos organizados do pc\Documentos\Empresa de Gestão\Quiosque 63B Barra da Tijuca\SISTEMA FLUXO DE CAIXA QUIOSQUE\"/>
    </mc:Choice>
  </mc:AlternateContent>
  <xr:revisionPtr revIDLastSave="0" documentId="13_ncr:1_{4E7D88F1-42FD-4B04-8336-F9E1069999C6}" xr6:coauthVersionLast="34" xr6:coauthVersionMax="34" xr10:uidLastSave="{00000000-0000-0000-0000-000000000000}"/>
  <bookViews>
    <workbookView xWindow="0" yWindow="0" windowWidth="20490" windowHeight="7530" firstSheet="7" activeTab="9" xr2:uid="{00000000-000D-0000-FFFF-FFFF00000000}"/>
  </bookViews>
  <sheets>
    <sheet name="FUNCIONARIO" sheetId="1" state="hidden" r:id="rId1"/>
    <sheet name="FLUXOFUNCIONARIOS" sheetId="5" state="hidden" r:id="rId2"/>
    <sheet name="MESAS" sheetId="2" r:id="rId3"/>
    <sheet name="PRODUTOS" sheetId="3" state="hidden" r:id="rId4"/>
    <sheet name="CONFIG" sheetId="6" state="hidden" r:id="rId5"/>
    <sheet name="FLUXOVENDA" sheetId="4" r:id="rId6"/>
    <sheet name="CODVENDA" sheetId="7" r:id="rId7"/>
    <sheet name="RESUMO" sheetId="8" r:id="rId8"/>
    <sheet name="FORMAPAGMENSAL" sheetId="12" r:id="rId9"/>
    <sheet name="FUNCIONARIOSMES" sheetId="13" r:id="rId10"/>
  </sheets>
  <functionGroups builtInGroupCount="19"/>
  <definedNames>
    <definedName name="_xlnm._FilterDatabase" localSheetId="6" hidden="1">CODVENDA!$A$1:$Q$16</definedName>
    <definedName name="_xlnm._FilterDatabase" localSheetId="5" hidden="1">FLUXOVENDA!$A$1:$S$40</definedName>
    <definedName name="GRUPOPRODUTOS">CONFIG!$B$2:$B$13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7" i="7" l="1"/>
  <c r="D16" i="7"/>
  <c r="D15" i="7"/>
  <c r="D14" i="7"/>
  <c r="D13" i="7"/>
  <c r="D12" i="7"/>
  <c r="B3" i="8"/>
  <c r="C20" i="8" s="1"/>
  <c r="D11" i="7"/>
  <c r="D10" i="7"/>
  <c r="D9" i="7"/>
  <c r="D8" i="7"/>
  <c r="H3" i="8"/>
  <c r="H4" i="8"/>
  <c r="H5" i="8"/>
  <c r="H6" i="8"/>
  <c r="H7" i="8"/>
  <c r="H8" i="8"/>
  <c r="H9" i="8"/>
  <c r="H10" i="8"/>
  <c r="H11" i="8"/>
  <c r="H12" i="8"/>
  <c r="H13" i="8"/>
  <c r="H14" i="8"/>
  <c r="H15" i="8"/>
  <c r="H16" i="8"/>
  <c r="H17" i="8"/>
  <c r="H18" i="8"/>
  <c r="H19" i="8"/>
  <c r="H20" i="8"/>
  <c r="H21" i="8"/>
  <c r="H22" i="8"/>
  <c r="H23" i="8"/>
  <c r="H24" i="8"/>
  <c r="H25" i="8"/>
  <c r="H26" i="8"/>
  <c r="H27" i="8"/>
  <c r="H28" i="8"/>
  <c r="H29" i="8"/>
  <c r="H30" i="8"/>
  <c r="H31" i="8"/>
  <c r="H32" i="8"/>
  <c r="H33" i="8"/>
  <c r="H34" i="8"/>
  <c r="H35" i="8"/>
  <c r="H36" i="8"/>
  <c r="H37" i="8"/>
  <c r="H38" i="8"/>
  <c r="H39" i="8"/>
  <c r="H40" i="8"/>
  <c r="H41" i="8"/>
  <c r="H42" i="8"/>
  <c r="H43" i="8"/>
  <c r="H2" i="8"/>
  <c r="D7" i="7"/>
  <c r="D6" i="7"/>
  <c r="D5" i="7"/>
  <c r="D4" i="7"/>
  <c r="D3" i="7"/>
  <c r="D2" i="7"/>
  <c r="H44" i="8" l="1"/>
  <c r="I42" i="8" s="1"/>
  <c r="B1" i="8"/>
  <c r="I23" i="8" l="1"/>
  <c r="I29" i="8"/>
  <c r="I3" i="8"/>
  <c r="I35" i="8"/>
  <c r="I4" i="8"/>
  <c r="I7" i="8"/>
  <c r="I39" i="8"/>
  <c r="I20" i="8"/>
  <c r="I19" i="8"/>
  <c r="I17" i="8"/>
  <c r="I36" i="8"/>
  <c r="I41" i="8"/>
  <c r="I21" i="8"/>
  <c r="I8" i="8"/>
  <c r="I24" i="8"/>
  <c r="I40" i="8"/>
  <c r="I34" i="8"/>
  <c r="I33" i="8"/>
  <c r="I11" i="8"/>
  <c r="I27" i="8"/>
  <c r="I43" i="8"/>
  <c r="I37" i="8"/>
  <c r="I12" i="8"/>
  <c r="I28" i="8"/>
  <c r="I13" i="8"/>
  <c r="I5" i="8"/>
  <c r="I10" i="8"/>
  <c r="I14" i="8"/>
  <c r="I18" i="8"/>
  <c r="I22" i="8"/>
  <c r="I26" i="8"/>
  <c r="I30" i="8"/>
  <c r="I15" i="8"/>
  <c r="I31" i="8"/>
  <c r="I2" i="8"/>
  <c r="I38" i="8"/>
  <c r="I16" i="8"/>
  <c r="I32" i="8"/>
  <c r="I25" i="8"/>
  <c r="I9" i="8"/>
  <c r="I6" i="8"/>
  <c r="B34" i="8"/>
  <c r="B35" i="8"/>
  <c r="B36" i="8" l="1"/>
  <c r="B15" i="8"/>
  <c r="B16" i="8"/>
  <c r="B17" i="8"/>
  <c r="B18" i="8"/>
  <c r="B19" i="8"/>
  <c r="K2" i="8" l="1"/>
  <c r="K3" i="8" l="1"/>
  <c r="K7" i="8"/>
  <c r="K11" i="8"/>
  <c r="K15" i="8"/>
  <c r="K19" i="8"/>
  <c r="K23" i="8"/>
  <c r="K27" i="8"/>
  <c r="K31" i="8"/>
  <c r="K35" i="8"/>
  <c r="K39" i="8"/>
  <c r="K43" i="8"/>
  <c r="K8" i="8"/>
  <c r="K12" i="8"/>
  <c r="K16" i="8"/>
  <c r="K20" i="8"/>
  <c r="K24" i="8"/>
  <c r="K28" i="8"/>
  <c r="K32" i="8"/>
  <c r="K36" i="8"/>
  <c r="K40" i="8"/>
  <c r="K29" i="8"/>
  <c r="K33" i="8"/>
  <c r="K37" i="8"/>
  <c r="K41" i="8"/>
  <c r="K6" i="8"/>
  <c r="K10" i="8"/>
  <c r="K14" i="8"/>
  <c r="K18" i="8"/>
  <c r="K22" i="8"/>
  <c r="K26" i="8"/>
  <c r="K30" i="8"/>
  <c r="K34" i="8"/>
  <c r="K38" i="8"/>
  <c r="K42" i="8"/>
  <c r="K4" i="8"/>
  <c r="K5" i="8"/>
  <c r="K9" i="8"/>
  <c r="K13" i="8"/>
  <c r="K17" i="8"/>
  <c r="K21" i="8"/>
  <c r="K25" i="8"/>
  <c r="C1" i="8"/>
  <c r="C22" i="8"/>
  <c r="C23" i="8"/>
  <c r="C26" i="8"/>
  <c r="C25" i="8"/>
  <c r="C24" i="8"/>
  <c r="C21" i="8"/>
  <c r="C31" i="8"/>
  <c r="C33" i="8"/>
  <c r="C32" i="8"/>
  <c r="C27" i="8"/>
  <c r="C30" i="8"/>
  <c r="C28" i="8"/>
  <c r="C29" i="8"/>
  <c r="C15" i="8"/>
  <c r="C16" i="8"/>
  <c r="C18" i="8"/>
  <c r="C17" i="8"/>
  <c r="C19" i="8"/>
  <c r="C10" i="8"/>
  <c r="C11" i="8"/>
  <c r="C3" i="8"/>
  <c r="C9" i="8"/>
  <c r="C7" i="8"/>
  <c r="C8" i="8"/>
  <c r="C6" i="8"/>
  <c r="C2" i="8"/>
  <c r="D20" i="8" s="1"/>
  <c r="C5" i="8"/>
  <c r="C4" i="8"/>
  <c r="B4" i="8"/>
  <c r="D11" i="8" l="1"/>
  <c r="D10" i="8"/>
  <c r="D9" i="8"/>
  <c r="D6" i="8"/>
  <c r="D21" i="8"/>
  <c r="D24" i="8"/>
  <c r="D25" i="8"/>
  <c r="D22" i="8"/>
  <c r="D26" i="8"/>
  <c r="D23" i="8"/>
  <c r="D33" i="8"/>
  <c r="D31" i="8"/>
  <c r="D32" i="8"/>
  <c r="D7" i="8"/>
  <c r="D8" i="8"/>
  <c r="D27" i="8"/>
  <c r="D30" i="8"/>
  <c r="D28" i="8"/>
  <c r="D29" i="8"/>
  <c r="D15" i="8"/>
  <c r="D17" i="8"/>
  <c r="D19" i="8"/>
  <c r="D16" i="8"/>
  <c r="D18" i="8"/>
</calcChain>
</file>

<file path=xl/sharedStrings.xml><?xml version="1.0" encoding="utf-8"?>
<sst xmlns="http://schemas.openxmlformats.org/spreadsheetml/2006/main" count="615" uniqueCount="163">
  <si>
    <t>COD</t>
  </si>
  <si>
    <t>NOME</t>
  </si>
  <si>
    <t>TELEFONE</t>
  </si>
  <si>
    <t>ENDEREÇO</t>
  </si>
  <si>
    <t>BAIRRO</t>
  </si>
  <si>
    <t>CIDADE</t>
  </si>
  <si>
    <t>CEP</t>
  </si>
  <si>
    <t>CODFUNCIONARIO</t>
  </si>
  <si>
    <t>NOME FUNCIONARIO</t>
  </si>
  <si>
    <t/>
  </si>
  <si>
    <t>DATA TRABALHO</t>
  </si>
  <si>
    <t>21 33590282</t>
  </si>
  <si>
    <t>R.DO TADEU, 33</t>
  </si>
  <si>
    <t>RJ</t>
  </si>
  <si>
    <t>PIEDADE</t>
  </si>
  <si>
    <t>R. SEM FIM, S/N</t>
  </si>
  <si>
    <t>CAMPO GRANDE</t>
  </si>
  <si>
    <t>MESA</t>
  </si>
  <si>
    <t>CODPRODUTO</t>
  </si>
  <si>
    <t>PRODUTO</t>
  </si>
  <si>
    <t>CODVENDA</t>
  </si>
  <si>
    <t>VENDEDOR</t>
  </si>
  <si>
    <t>DATAVENDA</t>
  </si>
  <si>
    <t>VALOR UNIT</t>
  </si>
  <si>
    <t>QUANTIDADE</t>
  </si>
  <si>
    <t>STATUS</t>
  </si>
  <si>
    <t>GRUPO</t>
  </si>
  <si>
    <t>CODGRUPO</t>
  </si>
  <si>
    <t>SANDUICHES</t>
  </si>
  <si>
    <t>BISCOITOS</t>
  </si>
  <si>
    <t>BEBIDAS ENERGÉTICAS</t>
  </si>
  <si>
    <t>BEBIDAS NATURAIS</t>
  </si>
  <si>
    <t>PEIXE FRITO</t>
  </si>
  <si>
    <t>PORÇÕES</t>
  </si>
  <si>
    <t>1 MESA</t>
  </si>
  <si>
    <t>2 MESA</t>
  </si>
  <si>
    <t>3 MESA</t>
  </si>
  <si>
    <t>4 MESA</t>
  </si>
  <si>
    <t>5 MESA</t>
  </si>
  <si>
    <t>6 MESA</t>
  </si>
  <si>
    <t>7 MESA</t>
  </si>
  <si>
    <t>8 MESA</t>
  </si>
  <si>
    <t>9 MESA</t>
  </si>
  <si>
    <t>10 MESA</t>
  </si>
  <si>
    <t>11 MESA</t>
  </si>
  <si>
    <t>12 MESA</t>
  </si>
  <si>
    <t>13 MESA</t>
  </si>
  <si>
    <t>14 MESA</t>
  </si>
  <si>
    <t>15 MESA</t>
  </si>
  <si>
    <t>16 MESA</t>
  </si>
  <si>
    <t>17 MESA</t>
  </si>
  <si>
    <t>18 MESA</t>
  </si>
  <si>
    <t>PRECO  VENDA</t>
  </si>
  <si>
    <t>AGUA DE COCO</t>
  </si>
  <si>
    <t>VALOR TOTAL</t>
  </si>
  <si>
    <t>WELLINGTON SOUZA</t>
  </si>
  <si>
    <t>PRATOS COMBINADOS</t>
  </si>
  <si>
    <t>DESCRIÇÃO</t>
  </si>
  <si>
    <t>WAGNER GOMES</t>
  </si>
  <si>
    <t>CERVEJAS</t>
  </si>
  <si>
    <t>REFRIGERANTES</t>
  </si>
  <si>
    <t>BEBIDAS DESTILADAS</t>
  </si>
  <si>
    <t>SKOL</t>
  </si>
  <si>
    <t>BRHAMA</t>
  </si>
  <si>
    <t>ANTÁRTICA</t>
  </si>
  <si>
    <t>AGUA MINERAL S/GAS</t>
  </si>
  <si>
    <t>AGUA MINERAL C/GAS</t>
  </si>
  <si>
    <t>COCA COLA</t>
  </si>
  <si>
    <t>FANTA LARANJA</t>
  </si>
  <si>
    <t>FANTA UVA</t>
  </si>
  <si>
    <t>GUARANÁ ANTÁRTICA</t>
  </si>
  <si>
    <t>CAIPIRINHA</t>
  </si>
  <si>
    <t>AGUA TÔNICA</t>
  </si>
  <si>
    <t>CAIPVODKA</t>
  </si>
  <si>
    <t>CERVEJA LATÃO</t>
  </si>
  <si>
    <t>SUCO LATA</t>
  </si>
  <si>
    <t>GUARAVITA</t>
  </si>
  <si>
    <t>GUARAVITON</t>
  </si>
  <si>
    <t>MATE</t>
  </si>
  <si>
    <t>SMINORFF ICE</t>
  </si>
  <si>
    <t>SUCOS</t>
  </si>
  <si>
    <t>X-TUDO</t>
  </si>
  <si>
    <t>X-DOUBLE</t>
  </si>
  <si>
    <t>ANXOVA FAMÍLIA</t>
  </si>
  <si>
    <t>CORVINA FAMILIA</t>
  </si>
  <si>
    <t>CAMARÃO GRELHADO</t>
  </si>
  <si>
    <t>SARDINHA FRITA</t>
  </si>
  <si>
    <t>GURJÃO</t>
  </si>
  <si>
    <t>MANJUBINHA</t>
  </si>
  <si>
    <t>CALABRESA/FRITAS</t>
  </si>
  <si>
    <t>AIPIM</t>
  </si>
  <si>
    <t>BATATA FRITA</t>
  </si>
  <si>
    <t>FRANGO À PASSARINHO</t>
  </si>
  <si>
    <t>SALAMINHO</t>
  </si>
  <si>
    <t>BOLINHO DE BACALHAU</t>
  </si>
  <si>
    <t>FECHADA</t>
  </si>
  <si>
    <t>DISPONÍVEL</t>
  </si>
  <si>
    <t>CODVENDEDOR</t>
  </si>
  <si>
    <t>CODMESA</t>
  </si>
  <si>
    <t>MÊS</t>
  </si>
  <si>
    <t>ANO</t>
  </si>
  <si>
    <t>EM USO</t>
  </si>
  <si>
    <t>GARÇOM</t>
  </si>
  <si>
    <t>HORA</t>
  </si>
  <si>
    <t>CLIENTE</t>
  </si>
  <si>
    <t>HORA ÚLTIMO ATENDIMENTO</t>
  </si>
  <si>
    <t>FORMA PAGAMENTO</t>
  </si>
  <si>
    <t>PORCENTAGEM</t>
  </si>
  <si>
    <t>PAGA PORCENTAGEM</t>
  </si>
  <si>
    <t>VLR TOT PAGO</t>
  </si>
  <si>
    <t>DATA</t>
  </si>
  <si>
    <t>DIA</t>
  </si>
  <si>
    <t>FATURAMENTO MÊS (COM PERCENTAGEM)</t>
  </si>
  <si>
    <t>DINHEIRO</t>
  </si>
  <si>
    <t>CARTÃO DE CRÉDITO</t>
  </si>
  <si>
    <t>PGT DINHEIRO DIA</t>
  </si>
  <si>
    <t>PGT CARTÃO DIA</t>
  </si>
  <si>
    <t>PGT DINHEIRO MÊS</t>
  </si>
  <si>
    <t>PGTO CARTÃO MÊS</t>
  </si>
  <si>
    <t>PGT DÉBITO DIA</t>
  </si>
  <si>
    <t>REDESHOP</t>
  </si>
  <si>
    <t>PRODUTIVIDADE DE FUNCIONÁRIOS</t>
  </si>
  <si>
    <t>MÊS ATUAL</t>
  </si>
  <si>
    <t>VLR SEM%</t>
  </si>
  <si>
    <t>ABERTO</t>
  </si>
  <si>
    <t>NOMECLIENTE</t>
  </si>
  <si>
    <t>VALOR À PAGAR</t>
  </si>
  <si>
    <t>CIGARRO MAÇO</t>
  </si>
  <si>
    <t>CIGARROS</t>
  </si>
  <si>
    <t>SERVIÇOS</t>
  </si>
  <si>
    <t>BANHEIRO</t>
  </si>
  <si>
    <t>CIGARRO VAREJO</t>
  </si>
  <si>
    <t>STELLA</t>
  </si>
  <si>
    <t>SKOL BEATS</t>
  </si>
  <si>
    <t>BRHAMA GARRAFINHA</t>
  </si>
  <si>
    <t>ENERGÉTICO</t>
  </si>
  <si>
    <t>REF. 2 LITROS</t>
  </si>
  <si>
    <t>NUGGETS</t>
  </si>
  <si>
    <t>BALCAO</t>
  </si>
  <si>
    <t>FINALIZADO</t>
  </si>
  <si>
    <t>NÃO</t>
  </si>
  <si>
    <t>CAIXA</t>
  </si>
  <si>
    <t xml:space="preserve"> 1 MESA </t>
  </si>
  <si>
    <t>SIM</t>
  </si>
  <si>
    <t>total valor BALCÃO</t>
  </si>
  <si>
    <t>total valor MESAS</t>
  </si>
  <si>
    <t>total valor BALCÃO + MESAS</t>
  </si>
  <si>
    <t xml:space="preserve"> 3 MESA </t>
  </si>
  <si>
    <t>RUSSÃO</t>
  </si>
  <si>
    <t>PAULO</t>
  </si>
  <si>
    <t>COMISSÃO DIA</t>
  </si>
  <si>
    <t>COMISSÃO DO MÊS</t>
  </si>
  <si>
    <t>PAULINHO VIOLA</t>
  </si>
  <si>
    <t>DANIELE BARRETO</t>
  </si>
  <si>
    <t>MACARRONADA</t>
  </si>
  <si>
    <t>LOCALVENDA</t>
  </si>
  <si>
    <t>FAT  TOT DIA (INC COMISSÃO)</t>
  </si>
  <si>
    <t>FAT MÊS LIQUIDO (SEM COMISSÃO)</t>
  </si>
  <si>
    <t>VENDA TOTAL NO ANO</t>
  </si>
  <si>
    <t>VENDA TOTAL NO MÊS</t>
  </si>
  <si>
    <t>TOTAL</t>
  </si>
  <si>
    <t>PGT DÉBITO MÊS</t>
  </si>
  <si>
    <t xml:space="preserve"> 13 MESA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</si>
</sst>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&quot;R$&quot;* #,##0.00_);_(&quot;R$&quot;* \(#,##0.00\);_(&quot;R$&quot;* &quot;-&quot;??_);_(@_)"/>
    <numFmt numFmtId="165" formatCode="0_ ;\-0\ "/>
    <numFmt numFmtId="166" formatCode="h:mm;@"/>
    <numFmt numFmtId="167" formatCode="#,##0.00_ ;\-#,##0.00\ "/>
    <numFmt numFmtId="168" formatCode="dd/mm/yy;@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749992370372631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69">
    <xf numFmtId="0" fontId="0" fillId="0" borderId="0" xfId="0"/>
    <xf numFmtId="0" fontId="0" fillId="0" borderId="0" xfId="0" quotePrefix="1"/>
    <xf numFmtId="0" fontId="0" fillId="0" borderId="0" xfId="0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" borderId="1" xfId="0" applyFill="1" applyBorder="1"/>
    <xf numFmtId="1" fontId="0" fillId="0" borderId="0" xfId="0" applyNumberFormat="1"/>
    <xf numFmtId="4" fontId="0" fillId="0" borderId="0" xfId="0" applyNumberFormat="1"/>
    <xf numFmtId="14" fontId="0" fillId="0" borderId="0" xfId="0" applyNumberFormat="1"/>
    <xf numFmtId="1" fontId="1" fillId="2" borderId="1" xfId="0" applyNumberFormat="1" applyFont="1" applyFill="1" applyBorder="1" applyAlignment="1">
      <alignment horizontal="center" vertical="center"/>
    </xf>
    <xf numFmtId="1" fontId="0" fillId="0" borderId="0" xfId="0" applyNumberFormat="1" applyAlignment="1">
      <alignment horizontal="left"/>
    </xf>
    <xf numFmtId="1" fontId="0" fillId="0" borderId="0" xfId="0" applyNumberFormat="1" applyAlignment="1">
      <alignment horizontal="center"/>
    </xf>
    <xf numFmtId="165" fontId="0" fillId="0" borderId="0" xfId="1" applyNumberFormat="1" applyFont="1" applyAlignment="1">
      <alignment horizontal="center"/>
    </xf>
    <xf numFmtId="164" fontId="0" fillId="0" borderId="0" xfId="1" applyFont="1" applyAlignment="1">
      <alignment horizontal="center"/>
    </xf>
    <xf numFmtId="166" fontId="0" fillId="0" borderId="0" xfId="0" applyNumberFormat="1" applyAlignment="1">
      <alignment horizontal="center"/>
    </xf>
    <xf numFmtId="167" fontId="0" fillId="0" borderId="0" xfId="1" applyNumberFormat="1" applyFont="1" applyAlignment="1">
      <alignment horizontal="center" vertical="center"/>
    </xf>
    <xf numFmtId="166" fontId="0" fillId="0" borderId="0" xfId="0" applyNumberFormat="1"/>
    <xf numFmtId="168" fontId="0" fillId="0" borderId="0" xfId="0" applyNumberFormat="1"/>
    <xf numFmtId="164" fontId="0" fillId="0" borderId="0" xfId="1" applyFont="1"/>
    <xf numFmtId="4" fontId="0" fillId="0" borderId="0" xfId="1" applyNumberFormat="1" applyFont="1"/>
    <xf numFmtId="9" fontId="0" fillId="0" borderId="0" xfId="2" applyFont="1"/>
    <xf numFmtId="167" fontId="3" fillId="4" borderId="0" xfId="1" applyNumberFormat="1" applyFont="1" applyFill="1" applyAlignment="1">
      <alignment horizontal="center" vertical="center"/>
    </xf>
    <xf numFmtId="1" fontId="3" fillId="4" borderId="0" xfId="0" applyNumberFormat="1" applyFont="1" applyFill="1" applyAlignment="1">
      <alignment horizontal="center" vertical="center"/>
    </xf>
    <xf numFmtId="165" fontId="3" fillId="4" borderId="0" xfId="1" applyNumberFormat="1" applyFont="1" applyFill="1" applyAlignment="1">
      <alignment horizontal="center" vertical="center"/>
    </xf>
    <xf numFmtId="164" fontId="3" fillId="4" borderId="0" xfId="1" applyFont="1" applyFill="1" applyAlignment="1">
      <alignment horizontal="center" vertical="center"/>
    </xf>
    <xf numFmtId="0" fontId="3" fillId="4" borderId="0" xfId="0" applyFont="1" applyFill="1" applyAlignment="1">
      <alignment vertical="center"/>
    </xf>
    <xf numFmtId="166" fontId="3" fillId="4" borderId="0" xfId="0" applyNumberFormat="1" applyFont="1" applyFill="1" applyAlignment="1">
      <alignment horizontal="center" vertical="center"/>
    </xf>
    <xf numFmtId="166" fontId="3" fillId="4" borderId="0" xfId="0" applyNumberFormat="1" applyFont="1" applyFill="1" applyAlignment="1">
      <alignment vertical="center" wrapText="1"/>
    </xf>
    <xf numFmtId="0" fontId="3" fillId="4" borderId="0" xfId="0" applyFont="1" applyFill="1" applyAlignment="1">
      <alignment vertical="center" wrapText="1"/>
    </xf>
    <xf numFmtId="4" fontId="3" fillId="4" borderId="0" xfId="0" applyNumberFormat="1" applyFont="1" applyFill="1" applyAlignment="1">
      <alignment vertical="center"/>
    </xf>
    <xf numFmtId="168" fontId="3" fillId="4" borderId="0" xfId="0" applyNumberFormat="1" applyFont="1" applyFill="1" applyAlignment="1">
      <alignment vertical="center"/>
    </xf>
    <xf numFmtId="0" fontId="3" fillId="4" borderId="0" xfId="0" applyFont="1" applyFill="1" applyAlignment="1">
      <alignment horizontal="center" vertical="center"/>
    </xf>
    <xf numFmtId="4" fontId="3" fillId="4" borderId="0" xfId="1" applyNumberFormat="1" applyFont="1" applyFill="1" applyAlignment="1">
      <alignment vertical="center"/>
    </xf>
    <xf numFmtId="0" fontId="0" fillId="0" borderId="0" xfId="0" applyAlignment="1">
      <alignment vertical="center"/>
    </xf>
    <xf numFmtId="19" fontId="0" fillId="0" borderId="0" xfId="0" applyNumberFormat="1"/>
    <xf numFmtId="0" fontId="0" fillId="0" borderId="0" xfId="0" applyAlignment="1">
      <alignment wrapText="1"/>
    </xf>
    <xf numFmtId="0" fontId="0" fillId="3" borderId="1" xfId="0" applyFill="1" applyBorder="1"/>
    <xf numFmtId="0" fontId="0" fillId="0" borderId="1" xfId="0" applyBorder="1"/>
    <xf numFmtId="0" fontId="0" fillId="3" borderId="3" xfId="0" applyFill="1" applyBorder="1"/>
    <xf numFmtId="0" fontId="1" fillId="2" borderId="2" xfId="0" applyFont="1" applyFill="1" applyBorder="1" applyAlignment="1">
      <alignment horizontal="center"/>
    </xf>
    <xf numFmtId="4" fontId="3" fillId="4" borderId="0" xfId="1" applyNumberFormat="1" applyFont="1" applyFill="1" applyAlignment="1">
      <alignment vertical="center" wrapText="1"/>
    </xf>
    <xf numFmtId="0" fontId="0" fillId="0" borderId="4" xfId="0" applyBorder="1"/>
    <xf numFmtId="0" fontId="0" fillId="0" borderId="5" xfId="0" applyBorder="1"/>
    <xf numFmtId="164" fontId="0" fillId="0" borderId="5" xfId="1" applyFont="1" applyBorder="1"/>
    <xf numFmtId="9" fontId="0" fillId="0" borderId="6" xfId="2" applyFont="1" applyBorder="1"/>
    <xf numFmtId="0" fontId="0" fillId="0" borderId="7" xfId="0" applyBorder="1"/>
    <xf numFmtId="0" fontId="0" fillId="0" borderId="0" xfId="0" applyBorder="1"/>
    <xf numFmtId="164" fontId="0" fillId="0" borderId="0" xfId="1" applyFont="1" applyBorder="1"/>
    <xf numFmtId="9" fontId="0" fillId="0" borderId="8" xfId="2" applyFont="1" applyBorder="1"/>
    <xf numFmtId="0" fontId="0" fillId="0" borderId="9" xfId="0" applyBorder="1"/>
    <xf numFmtId="0" fontId="0" fillId="0" borderId="10" xfId="0" applyBorder="1"/>
    <xf numFmtId="164" fontId="0" fillId="0" borderId="10" xfId="1" applyFont="1" applyBorder="1"/>
    <xf numFmtId="9" fontId="0" fillId="0" borderId="11" xfId="2" applyFont="1" applyBorder="1"/>
    <xf numFmtId="1" fontId="0" fillId="0" borderId="6" xfId="0" applyNumberFormat="1" applyBorder="1"/>
    <xf numFmtId="1" fontId="0" fillId="0" borderId="8" xfId="0" applyNumberFormat="1" applyBorder="1"/>
    <xf numFmtId="164" fontId="0" fillId="0" borderId="11" xfId="1" applyFont="1" applyBorder="1"/>
    <xf numFmtId="1" fontId="0" fillId="0" borderId="5" xfId="0" applyNumberFormat="1" applyBorder="1"/>
    <xf numFmtId="1" fontId="0" fillId="0" borderId="0" xfId="0" applyNumberFormat="1" applyBorder="1"/>
    <xf numFmtId="1" fontId="0" fillId="0" borderId="10" xfId="0" applyNumberFormat="1" applyBorder="1"/>
    <xf numFmtId="1" fontId="0" fillId="0" borderId="1" xfId="0" applyNumberFormat="1" applyBorder="1"/>
    <xf numFmtId="164" fontId="0" fillId="0" borderId="1" xfId="1" applyFont="1" applyBorder="1"/>
    <xf numFmtId="9" fontId="0" fillId="0" borderId="1" xfId="2" applyFont="1" applyBorder="1"/>
    <xf numFmtId="0" fontId="0" fillId="0" borderId="1" xfId="0" quotePrefix="1" applyBorder="1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Fill="1" applyBorder="1"/>
    <xf numFmtId="0" fontId="0" fillId="0" borderId="1" xfId="0" applyBorder="1" applyAlignment="1">
      <alignment horizontal="center" vertical="center"/>
    </xf>
    <xf numFmtId="9" fontId="0" fillId="0" borderId="0" xfId="2" applyFont="1" applyAlignment="1">
      <alignment horizontal="center" vertical="center"/>
    </xf>
  </cellXfs>
  <cellStyles count="3">
    <cellStyle name="Moeda" xfId="1" builtinId="4"/>
    <cellStyle name="Normal" xfId="0" builtinId="0"/>
    <cellStyle name="Porcentagem" xfId="2" builtinId="5"/>
  </cellStyles>
  <dxfs count="0"/>
  <tableStyles count="0" defaultTableStyle="TableStyleMedium2" defaultPivotStyle="PivotStyleLight16"/>
  <colors>
    <mruColors>
      <color rgb="FFFB613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hartsheet" Target="chartsheets/sheet2.xml"/><Relationship Id="rId4" Type="http://schemas.openxmlformats.org/officeDocument/2006/relationships/worksheet" Target="worksheets/sheet4.xml"/><Relationship Id="rId9" Type="http://schemas.openxmlformats.org/officeDocument/2006/relationships/chartsheet" Target="chartsheets/sheet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32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3200" b="1"/>
              <a:t>FORMAS DE PAGAMENTO</a:t>
            </a:r>
            <a:r>
              <a:rPr lang="pt-BR" sz="3200" b="1" baseline="0"/>
              <a:t> MENSAL</a:t>
            </a:r>
          </a:p>
        </c:rich>
      </c:tx>
      <c:overlay val="0"/>
      <c:spPr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DFB4-4DF5-BF1A-F2B3E949CEA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DFB4-4DF5-BF1A-F2B3E949CEA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DFB4-4DF5-BF1A-F2B3E949CEAB}"/>
              </c:ext>
            </c:extLst>
          </c:dPt>
          <c:dLbls>
            <c:spPr>
              <a:solidFill>
                <a:schemeClr val="accent1">
                  <a:lumMod val="20000"/>
                  <a:lumOff val="8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8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RESUMO!$B$9:$B$11</c:f>
              <c:strCache>
                <c:ptCount val="3"/>
                <c:pt idx="0">
                  <c:v>DINHEIRO</c:v>
                </c:pt>
                <c:pt idx="1">
                  <c:v>CARTÃO DE CRÉDITO</c:v>
                </c:pt>
                <c:pt idx="2">
                  <c:v>REDESHOP</c:v>
                </c:pt>
              </c:strCache>
            </c:strRef>
          </c:cat>
          <c:val>
            <c:numRef>
              <c:f>RESUMO!$D$9:$D$11</c:f>
              <c:numCache>
                <c:formatCode>0%</c:formatCode>
                <c:ptCount val="3"/>
                <c:pt idx="0">
                  <c:v>0.22903174853893538</c:v>
                </c:pt>
                <c:pt idx="1">
                  <c:v>0.44392670984046756</c:v>
                </c:pt>
                <c:pt idx="2">
                  <c:v>0.32704154162059706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FB4-4DF5-BF1A-F2B3E949CE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00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b="1"/>
              <a:t>PRODUÇÃO MENSAL DE FUNCIONÁRIOS</a:t>
            </a:r>
          </a:p>
        </c:rich>
      </c:tx>
      <c:layout>
        <c:manualLayout>
          <c:xMode val="edge"/>
          <c:yMode val="edge"/>
          <c:x val="0.30625911400161032"/>
          <c:y val="2.1085270494135805E-2"/>
        </c:manualLayout>
      </c:layout>
      <c:overlay val="0"/>
      <c:spPr>
        <a:gradFill flip="none" rotWithShape="1">
          <a:gsLst>
            <a:gs pos="0">
              <a:schemeClr val="accent6">
                <a:lumMod val="5000"/>
                <a:lumOff val="95000"/>
              </a:schemeClr>
            </a:gs>
            <a:gs pos="74000">
              <a:schemeClr val="accent6">
                <a:lumMod val="45000"/>
                <a:lumOff val="55000"/>
              </a:schemeClr>
            </a:gs>
            <a:gs pos="83000">
              <a:schemeClr val="accent6">
                <a:lumMod val="45000"/>
                <a:lumOff val="55000"/>
              </a:schemeClr>
            </a:gs>
            <a:gs pos="100000">
              <a:schemeClr val="accent6">
                <a:lumMod val="30000"/>
                <a:lumOff val="70000"/>
              </a:schemeClr>
            </a:gs>
          </a:gsLst>
          <a:lin ang="5400000" scaled="1"/>
          <a:tileRect/>
        </a:gra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solidFill>
          <a:schemeClr val="accent1">
            <a:lumMod val="60000"/>
            <a:lumOff val="40000"/>
          </a:schemeClr>
        </a:solidFill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spPr>
            <a:gradFill flip="none" rotWithShape="1">
              <a:gsLst>
                <a:gs pos="0">
                  <a:schemeClr val="accent4">
                    <a:lumMod val="67000"/>
                  </a:schemeClr>
                </a:gs>
                <a:gs pos="48000">
                  <a:schemeClr val="accent4">
                    <a:lumMod val="97000"/>
                    <a:lumOff val="3000"/>
                  </a:schemeClr>
                </a:gs>
                <a:gs pos="100000">
                  <a:schemeClr val="accent4">
                    <a:lumMod val="60000"/>
                    <a:lumOff val="40000"/>
                  </a:schemeClr>
                </a:gs>
              </a:gsLst>
              <a:lin ang="16200000" scaled="1"/>
              <a:tileRect/>
            </a:gradFill>
            <a:ln>
              <a:noFill/>
            </a:ln>
            <a:effectLst/>
            <a:sp3d/>
          </c:spPr>
          <c:invertIfNegative val="0"/>
          <c:dLbls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RESUMO!$B$15:$B$20</c:f>
              <c:strCache>
                <c:ptCount val="6"/>
                <c:pt idx="0">
                  <c:v>PAULINHO VIOLA</c:v>
                </c:pt>
                <c:pt idx="1">
                  <c:v>WELLINGTON SOUZA</c:v>
                </c:pt>
                <c:pt idx="2">
                  <c:v>RUSSÃO</c:v>
                </c:pt>
                <c:pt idx="3">
                  <c:v>WAGNER GOMES</c:v>
                </c:pt>
                <c:pt idx="4">
                  <c:v>DANIELE BARRETO</c:v>
                </c:pt>
                <c:pt idx="5">
                  <c:v>CAIXA</c:v>
                </c:pt>
              </c:strCache>
            </c:strRef>
          </c:cat>
          <c:val>
            <c:numRef>
              <c:f>RESUMO!$D$15:$D$20</c:f>
              <c:numCache>
                <c:formatCode>0%</c:formatCode>
                <c:ptCount val="6"/>
                <c:pt idx="0">
                  <c:v>0</c:v>
                </c:pt>
                <c:pt idx="1">
                  <c:v>8.6874111514768593E-2</c:v>
                </c:pt>
                <c:pt idx="2">
                  <c:v>7.9766229663560256E-2</c:v>
                </c:pt>
                <c:pt idx="3">
                  <c:v>0.11056705101879639</c:v>
                </c:pt>
                <c:pt idx="4">
                  <c:v>0.1832253988311483</c:v>
                </c:pt>
                <c:pt idx="5">
                  <c:v>0.14531669562470384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EBF7-45CD-863E-9FE1258988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743120744"/>
        <c:axId val="741450520"/>
        <c:axId val="0"/>
      </c:bar3DChart>
      <c:catAx>
        <c:axId val="7431207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4740000" spcFirstLastPara="1" vertOverflow="ellipsis" vert="horz" wrap="square" anchor="ctr" anchorCtr="0"/>
          <a:lstStyle/>
          <a:p>
            <a:pPr>
              <a:defRPr sz="12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41450520"/>
        <c:crosses val="autoZero"/>
        <c:auto val="1"/>
        <c:lblAlgn val="ctr"/>
        <c:lblOffset val="100"/>
        <c:noMultiLvlLbl val="0"/>
      </c:catAx>
      <c:valAx>
        <c:axId val="74145052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43120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accent5">
            <a:lumMod val="67000"/>
          </a:schemeClr>
        </a:gs>
        <a:gs pos="48000">
          <a:schemeClr val="accent5">
            <a:lumMod val="97000"/>
            <a:lumOff val="3000"/>
          </a:schemeClr>
        </a:gs>
        <a:gs pos="100000">
          <a:schemeClr val="accent5">
            <a:lumMod val="60000"/>
            <a:lumOff val="40000"/>
          </a:schemeClr>
        </a:gs>
      </a:gsLst>
      <a:lin ang="16200000" scaled="1"/>
      <a:tileRect/>
    </a:gra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A4AEBF86-3F75-45A8-B0F4-6E26E37716DC}">
  <sheetPr codeName="Gráfico3"/>
  <sheetViews>
    <sheetView zoomScale="92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79B89CF-AE17-4974-B58A-E4625CB377A7}">
  <sheetPr codeName="Gráfico4"/>
  <sheetViews>
    <sheetView tabSelected="1" zoomScale="68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665074" cy="6023162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FEF924D8-BA38-44B9-B3E5-90AC2808EFEE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665074" cy="6023162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BFE184FB-B833-484C-BD1B-AFF8DE0BCF23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1:G8"/>
  <sheetViews>
    <sheetView workbookViewId="0">
      <selection activeCell="B2" sqref="B2:B8"/>
    </sheetView>
  </sheetViews>
  <sheetFormatPr defaultRowHeight="15" x14ac:dyDescent="0.25"/>
  <cols>
    <col min="1" max="1" width="4.85546875" style="11" bestFit="1" customWidth="1"/>
    <col min="2" max="2" width="22.42578125" bestFit="1" customWidth="1"/>
    <col min="3" max="3" width="12.7109375" customWidth="1"/>
    <col min="4" max="4" width="14.85546875" bestFit="1" customWidth="1"/>
    <col min="5" max="5" width="23.28515625" customWidth="1"/>
    <col min="6" max="6" width="7.5703125" style="5" bestFit="1" customWidth="1"/>
    <col min="7" max="7" width="11.5703125" style="5" customWidth="1"/>
  </cols>
  <sheetData>
    <row r="1" spans="1:7" x14ac:dyDescent="0.25">
      <c r="A1" s="10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4" t="s">
        <v>5</v>
      </c>
      <c r="G1" s="4" t="s">
        <v>6</v>
      </c>
    </row>
    <row r="2" spans="1:7" x14ac:dyDescent="0.25">
      <c r="A2" s="11">
        <v>1</v>
      </c>
      <c r="B2" t="s">
        <v>152</v>
      </c>
      <c r="C2" t="s">
        <v>11</v>
      </c>
      <c r="D2" t="s">
        <v>12</v>
      </c>
      <c r="E2" t="s">
        <v>14</v>
      </c>
      <c r="F2" s="5" t="s">
        <v>13</v>
      </c>
      <c r="G2" s="5">
        <v>21555410</v>
      </c>
    </row>
    <row r="3" spans="1:7" x14ac:dyDescent="0.25">
      <c r="A3" s="11">
        <v>2</v>
      </c>
      <c r="B3" t="s">
        <v>55</v>
      </c>
      <c r="C3">
        <v>21995021</v>
      </c>
      <c r="D3" t="s">
        <v>15</v>
      </c>
      <c r="E3" t="s">
        <v>16</v>
      </c>
      <c r="F3" s="5" t="s">
        <v>13</v>
      </c>
      <c r="G3" s="5">
        <v>5214010</v>
      </c>
    </row>
    <row r="4" spans="1:7" x14ac:dyDescent="0.25">
      <c r="A4" s="11">
        <v>3</v>
      </c>
      <c r="B4" t="s">
        <v>148</v>
      </c>
    </row>
    <row r="5" spans="1:7" x14ac:dyDescent="0.25">
      <c r="A5" s="11">
        <v>4</v>
      </c>
      <c r="B5" t="s">
        <v>58</v>
      </c>
    </row>
    <row r="6" spans="1:7" x14ac:dyDescent="0.25">
      <c r="A6" s="11">
        <v>5</v>
      </c>
      <c r="B6" t="s">
        <v>153</v>
      </c>
    </row>
    <row r="7" spans="1:7" x14ac:dyDescent="0.25">
      <c r="A7" s="11">
        <v>6</v>
      </c>
      <c r="B7" t="s">
        <v>154</v>
      </c>
    </row>
    <row r="8" spans="1:7" x14ac:dyDescent="0.25">
      <c r="A8" s="11">
        <v>7</v>
      </c>
      <c r="B8" t="s">
        <v>104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2"/>
  <dimension ref="A1:D15"/>
  <sheetViews>
    <sheetView workbookViewId="0">
      <selection activeCell="C15" sqref="C15"/>
    </sheetView>
  </sheetViews>
  <sheetFormatPr defaultRowHeight="15" x14ac:dyDescent="0.25"/>
  <cols>
    <col min="1" max="1" width="17.85546875" bestFit="1" customWidth="1"/>
    <col min="2" max="2" width="20" bestFit="1" customWidth="1"/>
    <col min="3" max="3" width="15.85546875" customWidth="1"/>
  </cols>
  <sheetData>
    <row r="1" spans="1:4" x14ac:dyDescent="0.25">
      <c r="A1" s="6" t="s">
        <v>7</v>
      </c>
      <c r="B1" s="6" t="s">
        <v>8</v>
      </c>
      <c r="C1" s="6" t="s">
        <v>10</v>
      </c>
    </row>
    <row r="15" spans="1:4" x14ac:dyDescent="0.25">
      <c r="D15" s="1" t="s">
        <v>9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3"/>
  <dimension ref="A1:F19"/>
  <sheetViews>
    <sheetView workbookViewId="0">
      <selection activeCell="F6" sqref="F6"/>
    </sheetView>
  </sheetViews>
  <sheetFormatPr defaultRowHeight="15" x14ac:dyDescent="0.25"/>
  <cols>
    <col min="1" max="1" width="11.140625" style="2" customWidth="1"/>
    <col min="2" max="2" width="10.85546875" customWidth="1"/>
    <col min="3" max="3" width="14.140625" customWidth="1"/>
  </cols>
  <sheetData>
    <row r="1" spans="1:6" x14ac:dyDescent="0.25">
      <c r="A1" s="23" t="s">
        <v>0</v>
      </c>
      <c r="B1" s="24" t="s">
        <v>17</v>
      </c>
      <c r="C1" s="25" t="s">
        <v>25</v>
      </c>
    </row>
    <row r="2" spans="1:6" x14ac:dyDescent="0.25">
      <c r="A2" s="2">
        <v>1</v>
      </c>
      <c r="B2" t="s">
        <v>34</v>
      </c>
      <c r="C2" t="s">
        <v>96</v>
      </c>
      <c r="F2" s="2"/>
    </row>
    <row r="3" spans="1:6" x14ac:dyDescent="0.25">
      <c r="A3" s="2">
        <v>2</v>
      </c>
      <c r="B3" t="s">
        <v>35</v>
      </c>
      <c r="C3" t="s">
        <v>96</v>
      </c>
    </row>
    <row r="4" spans="1:6" x14ac:dyDescent="0.25">
      <c r="A4" s="2">
        <v>3</v>
      </c>
      <c r="B4" t="s">
        <v>36</v>
      </c>
      <c r="C4" t="s">
        <v>96</v>
      </c>
    </row>
    <row r="5" spans="1:6" x14ac:dyDescent="0.25">
      <c r="A5" s="2">
        <v>4</v>
      </c>
      <c r="B5" t="s">
        <v>37</v>
      </c>
      <c r="C5" t="s">
        <v>96</v>
      </c>
    </row>
    <row r="6" spans="1:6" x14ac:dyDescent="0.25">
      <c r="A6" s="2">
        <v>5</v>
      </c>
      <c r="B6" t="s">
        <v>38</v>
      </c>
      <c r="C6" t="s">
        <v>96</v>
      </c>
    </row>
    <row r="7" spans="1:6" x14ac:dyDescent="0.25">
      <c r="A7" s="2">
        <v>6</v>
      </c>
      <c r="B7" t="s">
        <v>39</v>
      </c>
      <c r="C7" t="s">
        <v>96</v>
      </c>
    </row>
    <row r="8" spans="1:6" x14ac:dyDescent="0.25">
      <c r="A8" s="2">
        <v>7</v>
      </c>
      <c r="B8" t="s">
        <v>40</v>
      </c>
      <c r="C8" t="s">
        <v>96</v>
      </c>
    </row>
    <row r="9" spans="1:6" x14ac:dyDescent="0.25">
      <c r="A9" s="2">
        <v>8</v>
      </c>
      <c r="B9" t="s">
        <v>41</v>
      </c>
      <c r="C9" t="s">
        <v>96</v>
      </c>
    </row>
    <row r="10" spans="1:6" x14ac:dyDescent="0.25">
      <c r="A10" s="2">
        <v>9</v>
      </c>
      <c r="B10" t="s">
        <v>42</v>
      </c>
      <c r="C10" t="s">
        <v>96</v>
      </c>
    </row>
    <row r="11" spans="1:6" x14ac:dyDescent="0.25">
      <c r="A11" s="2">
        <v>10</v>
      </c>
      <c r="B11" t="s">
        <v>43</v>
      </c>
      <c r="C11" t="s">
        <v>96</v>
      </c>
    </row>
    <row r="12" spans="1:6" x14ac:dyDescent="0.25">
      <c r="A12" s="2">
        <v>11</v>
      </c>
      <c r="B12" t="s">
        <v>44</v>
      </c>
      <c r="C12" t="s">
        <v>96</v>
      </c>
    </row>
    <row r="13" spans="1:6" x14ac:dyDescent="0.25">
      <c r="A13" s="2">
        <v>12</v>
      </c>
      <c r="B13" t="s">
        <v>45</v>
      </c>
      <c r="C13" t="s">
        <v>96</v>
      </c>
    </row>
    <row r="14" spans="1:6" x14ac:dyDescent="0.25">
      <c r="A14" s="2">
        <v>13</v>
      </c>
      <c r="B14" t="s">
        <v>46</v>
      </c>
      <c r="C14" t="s">
        <v>96</v>
      </c>
    </row>
    <row r="15" spans="1:6" x14ac:dyDescent="0.25">
      <c r="A15" s="2">
        <v>14</v>
      </c>
      <c r="B15" t="s">
        <v>47</v>
      </c>
      <c r="C15" t="s">
        <v>96</v>
      </c>
    </row>
    <row r="16" spans="1:6" x14ac:dyDescent="0.25">
      <c r="A16" s="2">
        <v>15</v>
      </c>
      <c r="B16" t="s">
        <v>48</v>
      </c>
      <c r="C16" t="s">
        <v>96</v>
      </c>
    </row>
    <row r="17" spans="1:3" x14ac:dyDescent="0.25">
      <c r="A17" s="2">
        <v>16</v>
      </c>
      <c r="B17" t="s">
        <v>49</v>
      </c>
      <c r="C17" t="s">
        <v>96</v>
      </c>
    </row>
    <row r="18" spans="1:3" x14ac:dyDescent="0.25">
      <c r="A18" s="2">
        <v>17</v>
      </c>
      <c r="B18" t="s">
        <v>50</v>
      </c>
      <c r="C18" t="s">
        <v>96</v>
      </c>
    </row>
    <row r="19" spans="1:3" x14ac:dyDescent="0.25">
      <c r="A19" s="2">
        <v>18</v>
      </c>
      <c r="B19" t="s">
        <v>51</v>
      </c>
      <c r="C19" t="s">
        <v>96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4"/>
  <dimension ref="A1:E43"/>
  <sheetViews>
    <sheetView workbookViewId="0">
      <selection activeCell="B2" sqref="B2:B43"/>
    </sheetView>
  </sheetViews>
  <sheetFormatPr defaultRowHeight="15" x14ac:dyDescent="0.25"/>
  <cols>
    <col min="1" max="1" width="13.7109375" bestFit="1" customWidth="1"/>
    <col min="2" max="2" width="23" customWidth="1"/>
    <col min="3" max="3" width="23.140625" bestFit="1" customWidth="1"/>
    <col min="4" max="4" width="14.140625" style="8" bestFit="1" customWidth="1"/>
    <col min="5" max="5" width="46.28515625" customWidth="1"/>
  </cols>
  <sheetData>
    <row r="1" spans="1:5" x14ac:dyDescent="0.25">
      <c r="A1" s="23" t="s">
        <v>18</v>
      </c>
      <c r="B1" s="24" t="s">
        <v>19</v>
      </c>
      <c r="C1" s="25" t="s">
        <v>26</v>
      </c>
      <c r="D1" s="23" t="s">
        <v>52</v>
      </c>
      <c r="E1" s="24" t="s">
        <v>57</v>
      </c>
    </row>
    <row r="2" spans="1:5" x14ac:dyDescent="0.25">
      <c r="A2">
        <v>1</v>
      </c>
      <c r="B2" t="s">
        <v>62</v>
      </c>
      <c r="C2" t="s">
        <v>59</v>
      </c>
      <c r="D2" s="8">
        <v>5</v>
      </c>
    </row>
    <row r="3" spans="1:5" x14ac:dyDescent="0.25">
      <c r="A3">
        <v>2</v>
      </c>
      <c r="B3" t="s">
        <v>133</v>
      </c>
      <c r="C3" t="s">
        <v>59</v>
      </c>
      <c r="D3" s="8">
        <v>9</v>
      </c>
    </row>
    <row r="4" spans="1:5" x14ac:dyDescent="0.25">
      <c r="A4">
        <v>3</v>
      </c>
      <c r="B4" t="s">
        <v>63</v>
      </c>
      <c r="C4" t="s">
        <v>59</v>
      </c>
      <c r="D4" s="8">
        <v>5</v>
      </c>
    </row>
    <row r="5" spans="1:5" x14ac:dyDescent="0.25">
      <c r="A5">
        <v>4</v>
      </c>
      <c r="B5" t="s">
        <v>134</v>
      </c>
      <c r="C5" t="s">
        <v>59</v>
      </c>
      <c r="D5" s="8">
        <v>5</v>
      </c>
    </row>
    <row r="6" spans="1:5" x14ac:dyDescent="0.25">
      <c r="A6">
        <v>5</v>
      </c>
      <c r="B6" t="s">
        <v>64</v>
      </c>
      <c r="C6" t="s">
        <v>59</v>
      </c>
      <c r="D6" s="8">
        <v>5</v>
      </c>
    </row>
    <row r="7" spans="1:5" x14ac:dyDescent="0.25">
      <c r="A7">
        <v>6</v>
      </c>
      <c r="B7" t="s">
        <v>74</v>
      </c>
      <c r="C7" t="s">
        <v>59</v>
      </c>
      <c r="D7" s="8">
        <v>7</v>
      </c>
    </row>
    <row r="8" spans="1:5" x14ac:dyDescent="0.25">
      <c r="A8">
        <v>7</v>
      </c>
      <c r="B8" t="s">
        <v>132</v>
      </c>
      <c r="C8" t="s">
        <v>59</v>
      </c>
      <c r="D8" s="8">
        <v>7</v>
      </c>
    </row>
    <row r="9" spans="1:5" x14ac:dyDescent="0.25">
      <c r="A9">
        <v>8</v>
      </c>
      <c r="B9" t="s">
        <v>135</v>
      </c>
      <c r="C9" t="s">
        <v>30</v>
      </c>
      <c r="D9" s="8">
        <v>15</v>
      </c>
    </row>
    <row r="10" spans="1:5" x14ac:dyDescent="0.25">
      <c r="A10">
        <v>9</v>
      </c>
      <c r="B10" t="s">
        <v>136</v>
      </c>
      <c r="C10" t="s">
        <v>60</v>
      </c>
      <c r="D10" s="8">
        <v>12</v>
      </c>
    </row>
    <row r="11" spans="1:5" x14ac:dyDescent="0.25">
      <c r="A11">
        <v>10</v>
      </c>
      <c r="B11" t="s">
        <v>65</v>
      </c>
      <c r="C11" t="s">
        <v>31</v>
      </c>
      <c r="D11" s="8">
        <v>4</v>
      </c>
    </row>
    <row r="12" spans="1:5" x14ac:dyDescent="0.25">
      <c r="A12">
        <v>11</v>
      </c>
      <c r="B12" t="s">
        <v>66</v>
      </c>
      <c r="C12" t="s">
        <v>31</v>
      </c>
      <c r="D12" s="8">
        <v>5</v>
      </c>
    </row>
    <row r="13" spans="1:5" x14ac:dyDescent="0.25">
      <c r="A13">
        <v>12</v>
      </c>
      <c r="B13" t="s">
        <v>53</v>
      </c>
      <c r="C13" t="s">
        <v>31</v>
      </c>
      <c r="D13" s="8">
        <v>6</v>
      </c>
    </row>
    <row r="14" spans="1:5" x14ac:dyDescent="0.25">
      <c r="A14">
        <v>13</v>
      </c>
      <c r="B14" t="s">
        <v>72</v>
      </c>
      <c r="C14" t="s">
        <v>60</v>
      </c>
      <c r="D14" s="8">
        <v>5</v>
      </c>
    </row>
    <row r="15" spans="1:5" x14ac:dyDescent="0.25">
      <c r="A15">
        <v>14</v>
      </c>
      <c r="B15" t="s">
        <v>75</v>
      </c>
      <c r="C15" t="s">
        <v>80</v>
      </c>
      <c r="D15" s="8">
        <v>6</v>
      </c>
    </row>
    <row r="16" spans="1:5" x14ac:dyDescent="0.25">
      <c r="A16">
        <v>15</v>
      </c>
      <c r="B16" t="s">
        <v>67</v>
      </c>
      <c r="C16" t="s">
        <v>60</v>
      </c>
      <c r="D16" s="8">
        <v>5</v>
      </c>
    </row>
    <row r="17" spans="1:4" x14ac:dyDescent="0.25">
      <c r="A17">
        <v>16</v>
      </c>
      <c r="B17" t="s">
        <v>68</v>
      </c>
      <c r="C17" t="s">
        <v>60</v>
      </c>
      <c r="D17" s="8">
        <v>5</v>
      </c>
    </row>
    <row r="18" spans="1:4" x14ac:dyDescent="0.25">
      <c r="A18">
        <v>17</v>
      </c>
      <c r="B18" t="s">
        <v>69</v>
      </c>
      <c r="C18" t="s">
        <v>60</v>
      </c>
      <c r="D18" s="8">
        <v>5</v>
      </c>
    </row>
    <row r="19" spans="1:4" x14ac:dyDescent="0.25">
      <c r="A19">
        <v>18</v>
      </c>
      <c r="B19" t="s">
        <v>70</v>
      </c>
      <c r="C19" t="s">
        <v>60</v>
      </c>
      <c r="D19" s="8">
        <v>5</v>
      </c>
    </row>
    <row r="20" spans="1:4" x14ac:dyDescent="0.25">
      <c r="A20">
        <v>19</v>
      </c>
      <c r="B20" t="s">
        <v>76</v>
      </c>
      <c r="C20" t="s">
        <v>31</v>
      </c>
      <c r="D20" s="8">
        <v>3</v>
      </c>
    </row>
    <row r="21" spans="1:4" x14ac:dyDescent="0.25">
      <c r="A21">
        <v>20</v>
      </c>
      <c r="B21" t="s">
        <v>77</v>
      </c>
      <c r="C21" t="s">
        <v>31</v>
      </c>
      <c r="D21" s="8">
        <v>5</v>
      </c>
    </row>
    <row r="22" spans="1:4" x14ac:dyDescent="0.25">
      <c r="A22">
        <v>21</v>
      </c>
      <c r="B22" t="s">
        <v>78</v>
      </c>
      <c r="C22" t="s">
        <v>31</v>
      </c>
      <c r="D22" s="8">
        <v>4</v>
      </c>
    </row>
    <row r="23" spans="1:4" x14ac:dyDescent="0.25">
      <c r="A23">
        <v>22</v>
      </c>
      <c r="B23" t="s">
        <v>71</v>
      </c>
      <c r="C23" t="s">
        <v>61</v>
      </c>
      <c r="D23" s="8">
        <v>15</v>
      </c>
    </row>
    <row r="24" spans="1:4" x14ac:dyDescent="0.25">
      <c r="A24">
        <v>23</v>
      </c>
      <c r="B24" t="s">
        <v>73</v>
      </c>
      <c r="C24" t="s">
        <v>61</v>
      </c>
      <c r="D24" s="8">
        <v>15</v>
      </c>
    </row>
    <row r="25" spans="1:4" x14ac:dyDescent="0.25">
      <c r="A25">
        <v>24</v>
      </c>
      <c r="B25" t="s">
        <v>79</v>
      </c>
      <c r="C25" t="s">
        <v>61</v>
      </c>
      <c r="D25" s="8">
        <v>10</v>
      </c>
    </row>
    <row r="26" spans="1:4" x14ac:dyDescent="0.25">
      <c r="A26">
        <v>25</v>
      </c>
      <c r="B26" t="s">
        <v>81</v>
      </c>
      <c r="C26" t="s">
        <v>28</v>
      </c>
      <c r="D26" s="8">
        <v>15</v>
      </c>
    </row>
    <row r="27" spans="1:4" x14ac:dyDescent="0.25">
      <c r="A27">
        <v>26</v>
      </c>
      <c r="B27" t="s">
        <v>82</v>
      </c>
      <c r="C27" t="s">
        <v>28</v>
      </c>
      <c r="D27" s="8">
        <v>15</v>
      </c>
    </row>
    <row r="28" spans="1:4" x14ac:dyDescent="0.25">
      <c r="A28">
        <v>27</v>
      </c>
      <c r="B28" t="s">
        <v>83</v>
      </c>
      <c r="C28" t="s">
        <v>32</v>
      </c>
      <c r="D28" s="8">
        <v>80</v>
      </c>
    </row>
    <row r="29" spans="1:4" x14ac:dyDescent="0.25">
      <c r="A29">
        <v>28</v>
      </c>
      <c r="B29" t="s">
        <v>84</v>
      </c>
      <c r="C29" t="s">
        <v>32</v>
      </c>
      <c r="D29" s="8">
        <v>80</v>
      </c>
    </row>
    <row r="30" spans="1:4" x14ac:dyDescent="0.25">
      <c r="A30">
        <v>29</v>
      </c>
      <c r="B30" t="s">
        <v>85</v>
      </c>
      <c r="C30" t="s">
        <v>33</v>
      </c>
      <c r="D30" s="8">
        <v>60</v>
      </c>
    </row>
    <row r="31" spans="1:4" x14ac:dyDescent="0.25">
      <c r="A31">
        <v>30</v>
      </c>
      <c r="B31" t="s">
        <v>86</v>
      </c>
      <c r="C31" t="s">
        <v>33</v>
      </c>
      <c r="D31" s="8">
        <v>40</v>
      </c>
    </row>
    <row r="32" spans="1:4" x14ac:dyDescent="0.25">
      <c r="A32">
        <v>31</v>
      </c>
      <c r="B32" t="s">
        <v>87</v>
      </c>
      <c r="C32" t="s">
        <v>33</v>
      </c>
      <c r="D32" s="8">
        <v>40</v>
      </c>
    </row>
    <row r="33" spans="1:4" x14ac:dyDescent="0.25">
      <c r="A33">
        <v>32</v>
      </c>
      <c r="B33" t="s">
        <v>88</v>
      </c>
      <c r="C33" t="s">
        <v>33</v>
      </c>
      <c r="D33" s="8">
        <v>40</v>
      </c>
    </row>
    <row r="34" spans="1:4" x14ac:dyDescent="0.25">
      <c r="A34">
        <v>33</v>
      </c>
      <c r="B34" t="s">
        <v>89</v>
      </c>
      <c r="C34" t="s">
        <v>33</v>
      </c>
      <c r="D34" s="8">
        <v>50</v>
      </c>
    </row>
    <row r="35" spans="1:4" x14ac:dyDescent="0.25">
      <c r="A35">
        <v>34</v>
      </c>
      <c r="B35" t="s">
        <v>90</v>
      </c>
      <c r="C35" t="s">
        <v>33</v>
      </c>
      <c r="D35" s="8">
        <v>20</v>
      </c>
    </row>
    <row r="36" spans="1:4" x14ac:dyDescent="0.25">
      <c r="A36">
        <v>35</v>
      </c>
      <c r="B36" t="s">
        <v>91</v>
      </c>
      <c r="C36" t="s">
        <v>33</v>
      </c>
      <c r="D36" s="8">
        <v>20</v>
      </c>
    </row>
    <row r="37" spans="1:4" x14ac:dyDescent="0.25">
      <c r="A37">
        <v>36</v>
      </c>
      <c r="B37" t="s">
        <v>92</v>
      </c>
      <c r="C37" t="s">
        <v>33</v>
      </c>
      <c r="D37" s="8">
        <v>40</v>
      </c>
    </row>
    <row r="38" spans="1:4" x14ac:dyDescent="0.25">
      <c r="A38">
        <v>37</v>
      </c>
      <c r="B38" t="s">
        <v>93</v>
      </c>
      <c r="C38" t="s">
        <v>33</v>
      </c>
      <c r="D38" s="8">
        <v>20</v>
      </c>
    </row>
    <row r="39" spans="1:4" x14ac:dyDescent="0.25">
      <c r="A39">
        <v>38</v>
      </c>
      <c r="B39" t="s">
        <v>94</v>
      </c>
      <c r="C39" t="s">
        <v>33</v>
      </c>
      <c r="D39" s="8">
        <v>30</v>
      </c>
    </row>
    <row r="40" spans="1:4" x14ac:dyDescent="0.25">
      <c r="A40">
        <v>39</v>
      </c>
      <c r="B40" t="s">
        <v>137</v>
      </c>
      <c r="C40" t="s">
        <v>33</v>
      </c>
      <c r="D40" s="8">
        <v>15</v>
      </c>
    </row>
    <row r="41" spans="1:4" x14ac:dyDescent="0.25">
      <c r="A41">
        <v>40</v>
      </c>
      <c r="B41" t="s">
        <v>127</v>
      </c>
      <c r="C41" t="s">
        <v>128</v>
      </c>
      <c r="D41" s="8">
        <v>15</v>
      </c>
    </row>
    <row r="42" spans="1:4" x14ac:dyDescent="0.25">
      <c r="A42">
        <v>41</v>
      </c>
      <c r="B42" t="s">
        <v>131</v>
      </c>
      <c r="C42" t="s">
        <v>128</v>
      </c>
      <c r="D42" s="8">
        <v>1</v>
      </c>
    </row>
    <row r="43" spans="1:4" x14ac:dyDescent="0.25">
      <c r="A43">
        <v>42</v>
      </c>
      <c r="B43" t="s">
        <v>130</v>
      </c>
      <c r="C43" t="s">
        <v>129</v>
      </c>
      <c r="D43" s="8">
        <v>2</v>
      </c>
    </row>
  </sheetData>
  <dataValidations count="1">
    <dataValidation type="list" allowBlank="1" showInputMessage="1" showErrorMessage="1" sqref="C2:C42 C44:C1048576" xr:uid="{00000000-0002-0000-0400-000000000000}">
      <formula1>GRUPOPRODUTOS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400-000001000000}">
          <x14:formula1>
            <xm:f>CONFIG!$B$2:$B$20</xm:f>
          </x14:formula1>
          <xm:sqref>C43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6"/>
  <dimension ref="A1:G14"/>
  <sheetViews>
    <sheetView workbookViewId="0">
      <selection activeCell="F13" sqref="F13"/>
    </sheetView>
  </sheetViews>
  <sheetFormatPr defaultRowHeight="15" x14ac:dyDescent="0.25"/>
  <cols>
    <col min="1" max="1" width="11.140625" bestFit="1" customWidth="1"/>
    <col min="2" max="2" width="22.42578125" bestFit="1" customWidth="1"/>
    <col min="7" max="7" width="9.28515625" bestFit="1" customWidth="1"/>
  </cols>
  <sheetData>
    <row r="1" spans="1:7" ht="15.75" thickBot="1" x14ac:dyDescent="0.3">
      <c r="A1" s="24" t="s">
        <v>27</v>
      </c>
      <c r="B1" s="24" t="s">
        <v>26</v>
      </c>
      <c r="G1" s="40" t="s">
        <v>25</v>
      </c>
    </row>
    <row r="2" spans="1:7" x14ac:dyDescent="0.25">
      <c r="A2">
        <v>1</v>
      </c>
      <c r="B2" t="s">
        <v>32</v>
      </c>
      <c r="G2" s="39" t="s">
        <v>101</v>
      </c>
    </row>
    <row r="3" spans="1:7" x14ac:dyDescent="0.25">
      <c r="A3">
        <v>2</v>
      </c>
      <c r="B3" t="s">
        <v>28</v>
      </c>
      <c r="G3" s="37" t="s">
        <v>95</v>
      </c>
    </row>
    <row r="4" spans="1:7" x14ac:dyDescent="0.25">
      <c r="A4">
        <v>3</v>
      </c>
      <c r="B4" t="s">
        <v>29</v>
      </c>
      <c r="G4" s="38"/>
    </row>
    <row r="5" spans="1:7" x14ac:dyDescent="0.25">
      <c r="A5">
        <v>4</v>
      </c>
      <c r="B5" t="s">
        <v>60</v>
      </c>
      <c r="G5" s="38" t="s">
        <v>124</v>
      </c>
    </row>
    <row r="6" spans="1:7" x14ac:dyDescent="0.25">
      <c r="A6">
        <v>5</v>
      </c>
      <c r="B6" t="s">
        <v>61</v>
      </c>
    </row>
    <row r="7" spans="1:7" x14ac:dyDescent="0.25">
      <c r="A7">
        <v>6</v>
      </c>
      <c r="B7" t="s">
        <v>59</v>
      </c>
    </row>
    <row r="8" spans="1:7" x14ac:dyDescent="0.25">
      <c r="A8">
        <v>7</v>
      </c>
      <c r="B8" t="s">
        <v>30</v>
      </c>
    </row>
    <row r="9" spans="1:7" x14ac:dyDescent="0.25">
      <c r="A9">
        <v>8</v>
      </c>
      <c r="B9" t="s">
        <v>31</v>
      </c>
    </row>
    <row r="10" spans="1:7" x14ac:dyDescent="0.25">
      <c r="A10">
        <v>9</v>
      </c>
      <c r="B10" t="s">
        <v>33</v>
      </c>
    </row>
    <row r="11" spans="1:7" x14ac:dyDescent="0.25">
      <c r="A11">
        <v>10</v>
      </c>
      <c r="B11" t="s">
        <v>56</v>
      </c>
    </row>
    <row r="12" spans="1:7" x14ac:dyDescent="0.25">
      <c r="A12">
        <v>11</v>
      </c>
      <c r="B12" t="s">
        <v>80</v>
      </c>
    </row>
    <row r="13" spans="1:7" x14ac:dyDescent="0.25">
      <c r="A13">
        <v>12</v>
      </c>
      <c r="B13" t="s">
        <v>128</v>
      </c>
    </row>
    <row r="14" spans="1:7" x14ac:dyDescent="0.25">
      <c r="A14">
        <v>13</v>
      </c>
      <c r="B14" t="s">
        <v>129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5"/>
  <dimension ref="A1:S54"/>
  <sheetViews>
    <sheetView zoomScale="80" zoomScaleNormal="80" workbookViewId="0">
      <pane ySplit="1" topLeftCell="A17" activePane="bottomLeft" state="frozen"/>
      <selection pane="bottomLeft" activeCell="F31" sqref="F31"/>
    </sheetView>
  </sheetViews>
  <sheetFormatPr defaultRowHeight="15" x14ac:dyDescent="0.25"/>
  <cols>
    <col min="1" max="1" width="8.28515625" customWidth="1"/>
    <col min="2" max="2" width="13.7109375" customWidth="1"/>
    <col min="3" max="3" width="12.7109375" style="7" customWidth="1"/>
    <col min="4" max="4" width="13.7109375" bestFit="1" customWidth="1"/>
    <col min="5" max="5" width="20.7109375" bestFit="1" customWidth="1"/>
    <col min="6" max="6" width="19.5703125" bestFit="1" customWidth="1"/>
    <col min="7" max="7" width="18.140625" customWidth="1"/>
    <col min="8" max="8" width="24.140625" customWidth="1"/>
    <col min="9" max="9" width="13.42578125" style="8" customWidth="1"/>
    <col min="10" max="10" width="14.7109375" customWidth="1"/>
    <col min="11" max="11" width="13.140625" style="8" bestFit="1" customWidth="1"/>
    <col min="12" max="12" width="10.28515625" style="12" bestFit="1" customWidth="1"/>
    <col min="13" max="13" width="10.140625" style="8" bestFit="1" customWidth="1"/>
    <col min="14" max="14" width="10.42578125" customWidth="1"/>
    <col min="15" max="15" width="9.140625" style="12"/>
    <col min="16" max="16" width="9.140625" style="2"/>
    <col min="18" max="18" width="14.5703125" customWidth="1"/>
    <col min="19" max="19" width="15.28515625" bestFit="1" customWidth="1"/>
  </cols>
  <sheetData>
    <row r="1" spans="1:19" x14ac:dyDescent="0.25">
      <c r="A1" s="24" t="s">
        <v>0</v>
      </c>
      <c r="B1" s="24" t="s">
        <v>22</v>
      </c>
      <c r="C1" s="24" t="s">
        <v>20</v>
      </c>
      <c r="D1" s="24" t="s">
        <v>18</v>
      </c>
      <c r="E1" s="24" t="s">
        <v>19</v>
      </c>
      <c r="F1" s="24" t="s">
        <v>26</v>
      </c>
      <c r="G1" s="24" t="s">
        <v>97</v>
      </c>
      <c r="H1" s="24" t="s">
        <v>21</v>
      </c>
      <c r="I1" s="24" t="s">
        <v>23</v>
      </c>
      <c r="J1" s="24" t="s">
        <v>24</v>
      </c>
      <c r="K1" s="24" t="s">
        <v>54</v>
      </c>
      <c r="L1" s="24" t="s">
        <v>98</v>
      </c>
      <c r="M1" s="24" t="s">
        <v>17</v>
      </c>
      <c r="N1" s="24" t="s">
        <v>25</v>
      </c>
      <c r="O1" s="24" t="s">
        <v>99</v>
      </c>
      <c r="P1" s="24" t="s">
        <v>100</v>
      </c>
      <c r="Q1" s="24" t="s">
        <v>111</v>
      </c>
      <c r="R1" s="24" t="s">
        <v>103</v>
      </c>
      <c r="S1" s="24" t="s">
        <v>107</v>
      </c>
    </row>
    <row r="2" spans="1:19" x14ac:dyDescent="0.25">
      <c r="A2">
        <v>1</v>
      </c>
      <c r="B2" s="9">
        <v>43289</v>
      </c>
      <c r="C2" s="7">
        <v>1</v>
      </c>
      <c r="D2">
        <v>2</v>
      </c>
      <c r="E2" t="s">
        <v>133</v>
      </c>
      <c r="F2" t="s">
        <v>59</v>
      </c>
      <c r="G2">
        <v>0</v>
      </c>
      <c r="H2" t="s">
        <v>141</v>
      </c>
      <c r="I2" s="8">
        <v>9</v>
      </c>
      <c r="J2">
        <v>3</v>
      </c>
      <c r="K2" s="8">
        <v>27</v>
      </c>
      <c r="L2" s="12">
        <v>0</v>
      </c>
      <c r="M2" s="8" t="s">
        <v>138</v>
      </c>
      <c r="N2" t="s">
        <v>95</v>
      </c>
      <c r="O2" s="12">
        <v>7</v>
      </c>
      <c r="P2" s="2">
        <v>2018</v>
      </c>
      <c r="Q2">
        <v>8</v>
      </c>
      <c r="R2" s="35">
        <v>0.68833333333333335</v>
      </c>
    </row>
    <row r="3" spans="1:19" x14ac:dyDescent="0.25">
      <c r="A3">
        <v>2</v>
      </c>
      <c r="B3" s="9">
        <v>43289</v>
      </c>
      <c r="C3" s="7">
        <v>2</v>
      </c>
      <c r="D3">
        <v>21</v>
      </c>
      <c r="E3" t="s">
        <v>78</v>
      </c>
      <c r="F3" t="s">
        <v>31</v>
      </c>
      <c r="G3">
        <v>0</v>
      </c>
      <c r="H3" t="s">
        <v>141</v>
      </c>
      <c r="I3" s="8">
        <v>4</v>
      </c>
      <c r="J3">
        <v>1</v>
      </c>
      <c r="K3" s="8">
        <v>4</v>
      </c>
      <c r="L3" s="12">
        <v>0</v>
      </c>
      <c r="M3" s="8" t="s">
        <v>138</v>
      </c>
      <c r="N3" t="s">
        <v>95</v>
      </c>
      <c r="O3" s="12">
        <v>7</v>
      </c>
      <c r="P3" s="2">
        <v>2018</v>
      </c>
      <c r="Q3">
        <v>8</v>
      </c>
      <c r="R3" s="35">
        <v>0.69155092592592593</v>
      </c>
    </row>
    <row r="4" spans="1:19" x14ac:dyDescent="0.25">
      <c r="A4">
        <v>3</v>
      </c>
      <c r="B4" s="9">
        <v>43289</v>
      </c>
      <c r="C4" s="7">
        <v>2</v>
      </c>
      <c r="D4">
        <v>6</v>
      </c>
      <c r="E4" t="s">
        <v>74</v>
      </c>
      <c r="F4" t="s">
        <v>59</v>
      </c>
      <c r="G4">
        <v>0</v>
      </c>
      <c r="H4" t="s">
        <v>141</v>
      </c>
      <c r="I4" s="8">
        <v>7</v>
      </c>
      <c r="J4">
        <v>3</v>
      </c>
      <c r="K4" s="8">
        <v>21</v>
      </c>
      <c r="L4" s="12">
        <v>0</v>
      </c>
      <c r="M4" s="8" t="s">
        <v>138</v>
      </c>
      <c r="N4" t="s">
        <v>95</v>
      </c>
      <c r="O4" s="12">
        <v>7</v>
      </c>
      <c r="P4" s="2">
        <v>2018</v>
      </c>
      <c r="Q4">
        <v>8</v>
      </c>
      <c r="R4" s="35">
        <v>0.69155092592592593</v>
      </c>
    </row>
    <row r="5" spans="1:19" x14ac:dyDescent="0.25">
      <c r="A5">
        <v>4</v>
      </c>
      <c r="B5" s="9">
        <v>43289</v>
      </c>
      <c r="C5" s="7">
        <v>3</v>
      </c>
      <c r="D5">
        <v>3</v>
      </c>
      <c r="E5" t="s">
        <v>63</v>
      </c>
      <c r="F5" t="s">
        <v>59</v>
      </c>
      <c r="G5">
        <v>0</v>
      </c>
      <c r="H5" t="s">
        <v>141</v>
      </c>
      <c r="I5" s="8">
        <v>5</v>
      </c>
      <c r="J5">
        <v>3</v>
      </c>
      <c r="K5" s="8">
        <v>15</v>
      </c>
      <c r="L5" s="12">
        <v>0</v>
      </c>
      <c r="M5" s="8" t="s">
        <v>138</v>
      </c>
      <c r="N5" t="s">
        <v>95</v>
      </c>
      <c r="O5" s="12">
        <v>7</v>
      </c>
      <c r="P5" s="2">
        <v>2018</v>
      </c>
      <c r="Q5">
        <v>8</v>
      </c>
      <c r="R5" s="35">
        <v>0.69341435185185185</v>
      </c>
    </row>
    <row r="6" spans="1:19" x14ac:dyDescent="0.25">
      <c r="A6">
        <v>5</v>
      </c>
      <c r="B6" s="9">
        <v>43289</v>
      </c>
      <c r="C6" s="7">
        <v>4</v>
      </c>
      <c r="D6">
        <v>22</v>
      </c>
      <c r="E6" t="s">
        <v>71</v>
      </c>
      <c r="F6" t="s">
        <v>61</v>
      </c>
      <c r="G6">
        <v>3</v>
      </c>
      <c r="H6" t="s">
        <v>148</v>
      </c>
      <c r="I6" s="8">
        <v>15</v>
      </c>
      <c r="J6">
        <v>1</v>
      </c>
      <c r="K6" s="8">
        <v>15</v>
      </c>
      <c r="L6" s="12">
        <v>1</v>
      </c>
      <c r="M6" s="8" t="s">
        <v>34</v>
      </c>
      <c r="N6" t="s">
        <v>95</v>
      </c>
      <c r="O6" s="12">
        <v>7</v>
      </c>
      <c r="P6" s="2">
        <v>2018</v>
      </c>
      <c r="Q6">
        <v>8</v>
      </c>
      <c r="R6" s="35">
        <v>0.70574074074074078</v>
      </c>
    </row>
    <row r="7" spans="1:19" x14ac:dyDescent="0.25">
      <c r="A7">
        <v>6</v>
      </c>
      <c r="B7" s="9">
        <v>43289</v>
      </c>
      <c r="C7" s="7">
        <v>4</v>
      </c>
      <c r="D7">
        <v>7</v>
      </c>
      <c r="E7" t="s">
        <v>132</v>
      </c>
      <c r="F7" t="s">
        <v>59</v>
      </c>
      <c r="G7">
        <v>3</v>
      </c>
      <c r="H7" t="s">
        <v>148</v>
      </c>
      <c r="I7" s="8">
        <v>7</v>
      </c>
      <c r="J7">
        <v>1</v>
      </c>
      <c r="K7" s="8">
        <v>7</v>
      </c>
      <c r="L7" s="12">
        <v>1</v>
      </c>
      <c r="M7" s="8" t="s">
        <v>34</v>
      </c>
      <c r="N7" t="s">
        <v>95</v>
      </c>
      <c r="O7" s="12">
        <v>7</v>
      </c>
      <c r="P7" s="2">
        <v>2018</v>
      </c>
      <c r="Q7">
        <v>8</v>
      </c>
      <c r="R7" s="35">
        <v>0.70574074074074078</v>
      </c>
    </row>
    <row r="8" spans="1:19" x14ac:dyDescent="0.25">
      <c r="A8">
        <v>7</v>
      </c>
      <c r="B8" s="9">
        <v>43289</v>
      </c>
      <c r="C8" s="7">
        <v>4</v>
      </c>
      <c r="D8">
        <v>25</v>
      </c>
      <c r="E8" t="s">
        <v>81</v>
      </c>
      <c r="F8" t="s">
        <v>28</v>
      </c>
      <c r="G8">
        <v>3</v>
      </c>
      <c r="H8" t="s">
        <v>148</v>
      </c>
      <c r="I8" s="8">
        <v>15</v>
      </c>
      <c r="J8">
        <v>1</v>
      </c>
      <c r="K8" s="8">
        <v>15</v>
      </c>
      <c r="L8" s="12">
        <v>1</v>
      </c>
      <c r="M8" s="8" t="s">
        <v>34</v>
      </c>
      <c r="N8" t="s">
        <v>95</v>
      </c>
      <c r="O8" s="12">
        <v>7</v>
      </c>
      <c r="P8" s="2">
        <v>2018</v>
      </c>
      <c r="Q8">
        <v>8</v>
      </c>
      <c r="R8" s="35">
        <v>0.70574074074074078</v>
      </c>
    </row>
    <row r="9" spans="1:19" x14ac:dyDescent="0.25">
      <c r="A9">
        <v>8</v>
      </c>
      <c r="B9" s="9">
        <v>43289</v>
      </c>
      <c r="C9" s="7">
        <v>4</v>
      </c>
      <c r="D9">
        <v>31</v>
      </c>
      <c r="E9" t="s">
        <v>87</v>
      </c>
      <c r="F9" t="s">
        <v>33</v>
      </c>
      <c r="G9">
        <v>3</v>
      </c>
      <c r="H9" t="s">
        <v>148</v>
      </c>
      <c r="I9" s="8">
        <v>40</v>
      </c>
      <c r="J9">
        <v>1</v>
      </c>
      <c r="K9" s="8">
        <v>40</v>
      </c>
      <c r="L9" s="12">
        <v>1</v>
      </c>
      <c r="M9" s="8" t="s">
        <v>34</v>
      </c>
      <c r="N9" t="s">
        <v>95</v>
      </c>
      <c r="O9" s="12">
        <v>7</v>
      </c>
      <c r="P9" s="2">
        <v>2018</v>
      </c>
      <c r="Q9">
        <v>8</v>
      </c>
      <c r="R9" s="35">
        <v>0.70574074074074078</v>
      </c>
    </row>
    <row r="10" spans="1:19" x14ac:dyDescent="0.25">
      <c r="A10">
        <v>9</v>
      </c>
      <c r="B10" s="9">
        <v>43289</v>
      </c>
      <c r="C10" s="7">
        <v>4</v>
      </c>
      <c r="D10">
        <v>3</v>
      </c>
      <c r="E10" t="s">
        <v>63</v>
      </c>
      <c r="F10" t="s">
        <v>59</v>
      </c>
      <c r="G10">
        <v>2</v>
      </c>
      <c r="H10" t="s">
        <v>55</v>
      </c>
      <c r="I10" s="8">
        <v>5</v>
      </c>
      <c r="J10">
        <v>1</v>
      </c>
      <c r="K10" s="8">
        <v>5</v>
      </c>
      <c r="L10" s="12">
        <v>1</v>
      </c>
      <c r="M10" s="8" t="s">
        <v>142</v>
      </c>
      <c r="N10" t="s">
        <v>95</v>
      </c>
      <c r="O10" s="12">
        <v>7</v>
      </c>
      <c r="P10" s="2">
        <v>2018</v>
      </c>
      <c r="Q10">
        <v>8</v>
      </c>
      <c r="R10" s="35">
        <v>0.70574074074074078</v>
      </c>
    </row>
    <row r="11" spans="1:19" x14ac:dyDescent="0.25">
      <c r="A11">
        <v>10</v>
      </c>
      <c r="B11" s="9">
        <v>43289</v>
      </c>
      <c r="C11" s="7">
        <v>5</v>
      </c>
      <c r="D11">
        <v>11</v>
      </c>
      <c r="E11" t="s">
        <v>66</v>
      </c>
      <c r="F11" t="s">
        <v>31</v>
      </c>
      <c r="G11">
        <v>0</v>
      </c>
      <c r="H11" t="s">
        <v>141</v>
      </c>
      <c r="I11" s="8">
        <v>5</v>
      </c>
      <c r="J11">
        <v>1</v>
      </c>
      <c r="K11" s="8">
        <v>5</v>
      </c>
      <c r="L11" s="12">
        <v>0</v>
      </c>
      <c r="M11" s="8" t="s">
        <v>138</v>
      </c>
      <c r="N11" t="s">
        <v>95</v>
      </c>
      <c r="O11" s="12">
        <v>7</v>
      </c>
      <c r="P11" s="2">
        <v>2018</v>
      </c>
      <c r="Q11">
        <v>8</v>
      </c>
      <c r="R11" s="35">
        <v>0.70624999999999993</v>
      </c>
    </row>
    <row r="12" spans="1:19" x14ac:dyDescent="0.25">
      <c r="A12">
        <v>11</v>
      </c>
      <c r="B12" s="9">
        <v>43289</v>
      </c>
      <c r="C12" s="7">
        <v>6</v>
      </c>
      <c r="D12">
        <v>27</v>
      </c>
      <c r="E12" t="s">
        <v>83</v>
      </c>
      <c r="F12" t="s">
        <v>32</v>
      </c>
      <c r="G12">
        <v>2</v>
      </c>
      <c r="H12" t="s">
        <v>55</v>
      </c>
      <c r="I12" s="8">
        <v>80</v>
      </c>
      <c r="J12">
        <v>1</v>
      </c>
      <c r="K12" s="8">
        <v>80</v>
      </c>
      <c r="L12" s="12">
        <v>1</v>
      </c>
      <c r="M12" s="8" t="s">
        <v>34</v>
      </c>
      <c r="N12" t="s">
        <v>95</v>
      </c>
      <c r="O12" s="12">
        <v>7</v>
      </c>
      <c r="P12" s="2">
        <v>2018</v>
      </c>
      <c r="Q12">
        <v>8</v>
      </c>
      <c r="R12" s="35">
        <v>0.70979166666666671</v>
      </c>
    </row>
    <row r="13" spans="1:19" x14ac:dyDescent="0.25">
      <c r="A13">
        <v>12</v>
      </c>
      <c r="B13" s="9">
        <v>43289</v>
      </c>
      <c r="C13" s="7">
        <v>6</v>
      </c>
      <c r="D13">
        <v>3</v>
      </c>
      <c r="E13" t="s">
        <v>63</v>
      </c>
      <c r="F13" t="s">
        <v>59</v>
      </c>
      <c r="G13">
        <v>2</v>
      </c>
      <c r="H13" t="s">
        <v>55</v>
      </c>
      <c r="I13" s="8">
        <v>5</v>
      </c>
      <c r="J13">
        <v>4</v>
      </c>
      <c r="K13" s="8">
        <v>20</v>
      </c>
      <c r="L13" s="12">
        <v>1</v>
      </c>
      <c r="M13" s="8" t="s">
        <v>34</v>
      </c>
      <c r="N13" t="s">
        <v>95</v>
      </c>
      <c r="O13" s="12">
        <v>7</v>
      </c>
      <c r="P13" s="2">
        <v>2018</v>
      </c>
      <c r="Q13">
        <v>8</v>
      </c>
      <c r="R13" s="35">
        <v>0.70979166666666671</v>
      </c>
    </row>
    <row r="14" spans="1:19" x14ac:dyDescent="0.25">
      <c r="A14">
        <v>13</v>
      </c>
      <c r="B14" s="9">
        <v>43289</v>
      </c>
      <c r="C14" s="7">
        <v>6</v>
      </c>
      <c r="D14">
        <v>1</v>
      </c>
      <c r="E14" t="s">
        <v>62</v>
      </c>
      <c r="F14" t="s">
        <v>59</v>
      </c>
      <c r="G14">
        <v>2</v>
      </c>
      <c r="H14" t="s">
        <v>55</v>
      </c>
      <c r="I14" s="8">
        <v>5</v>
      </c>
      <c r="J14">
        <v>1</v>
      </c>
      <c r="K14" s="8">
        <v>5</v>
      </c>
      <c r="L14" s="12">
        <v>1</v>
      </c>
      <c r="M14" s="8" t="s">
        <v>34</v>
      </c>
      <c r="N14" t="s">
        <v>95</v>
      </c>
      <c r="O14" s="12">
        <v>7</v>
      </c>
      <c r="P14" s="2">
        <v>2018</v>
      </c>
      <c r="Q14">
        <v>8</v>
      </c>
      <c r="R14" s="35">
        <v>0.70979166666666671</v>
      </c>
    </row>
    <row r="15" spans="1:19" x14ac:dyDescent="0.25">
      <c r="A15">
        <v>14</v>
      </c>
      <c r="B15" s="9">
        <v>43289</v>
      </c>
      <c r="C15" s="7">
        <v>7</v>
      </c>
      <c r="D15">
        <v>5</v>
      </c>
      <c r="E15" t="s">
        <v>64</v>
      </c>
      <c r="F15" t="s">
        <v>59</v>
      </c>
      <c r="G15">
        <v>0</v>
      </c>
      <c r="H15" t="s">
        <v>141</v>
      </c>
      <c r="I15" s="8">
        <v>5</v>
      </c>
      <c r="J15">
        <v>3</v>
      </c>
      <c r="K15" s="8">
        <v>15</v>
      </c>
      <c r="L15" s="12">
        <v>0</v>
      </c>
      <c r="M15" s="8" t="s">
        <v>138</v>
      </c>
      <c r="N15" t="s">
        <v>95</v>
      </c>
      <c r="O15" s="12">
        <v>7</v>
      </c>
      <c r="P15" s="2">
        <v>2018</v>
      </c>
      <c r="Q15">
        <v>8</v>
      </c>
      <c r="R15" s="35">
        <v>0.73609953703703701</v>
      </c>
    </row>
    <row r="16" spans="1:19" x14ac:dyDescent="0.25">
      <c r="A16">
        <v>15</v>
      </c>
      <c r="B16" s="9">
        <v>43289</v>
      </c>
      <c r="C16" s="7">
        <v>8</v>
      </c>
      <c r="D16">
        <v>3</v>
      </c>
      <c r="E16" t="s">
        <v>63</v>
      </c>
      <c r="F16" t="s">
        <v>59</v>
      </c>
      <c r="G16">
        <v>0</v>
      </c>
      <c r="H16" t="s">
        <v>141</v>
      </c>
      <c r="I16" s="8">
        <v>5</v>
      </c>
      <c r="J16">
        <v>5</v>
      </c>
      <c r="K16" s="8">
        <v>25</v>
      </c>
      <c r="L16" s="12">
        <v>0</v>
      </c>
      <c r="M16" s="8" t="s">
        <v>138</v>
      </c>
      <c r="N16" t="s">
        <v>95</v>
      </c>
      <c r="O16" s="12">
        <v>7</v>
      </c>
      <c r="P16" s="2">
        <v>2018</v>
      </c>
      <c r="Q16">
        <v>8</v>
      </c>
      <c r="R16" s="35">
        <v>0.73630787037037038</v>
      </c>
    </row>
    <row r="17" spans="1:18" x14ac:dyDescent="0.25">
      <c r="A17">
        <v>16</v>
      </c>
      <c r="B17" s="9">
        <v>43289</v>
      </c>
      <c r="C17" s="7">
        <v>9</v>
      </c>
      <c r="D17">
        <v>7</v>
      </c>
      <c r="E17" t="s">
        <v>132</v>
      </c>
      <c r="F17" t="s">
        <v>59</v>
      </c>
      <c r="G17">
        <v>0</v>
      </c>
      <c r="H17" t="s">
        <v>141</v>
      </c>
      <c r="I17" s="8">
        <v>7</v>
      </c>
      <c r="J17">
        <v>2</v>
      </c>
      <c r="K17" s="8">
        <v>14</v>
      </c>
      <c r="L17" s="12">
        <v>0</v>
      </c>
      <c r="M17" s="8" t="s">
        <v>138</v>
      </c>
      <c r="N17" t="s">
        <v>95</v>
      </c>
      <c r="O17" s="12">
        <v>7</v>
      </c>
      <c r="P17" s="2">
        <v>2018</v>
      </c>
      <c r="Q17">
        <v>8</v>
      </c>
      <c r="R17" s="35">
        <v>0.73619212962962965</v>
      </c>
    </row>
    <row r="18" spans="1:18" x14ac:dyDescent="0.25">
      <c r="A18">
        <v>17</v>
      </c>
      <c r="B18" s="9">
        <v>43289</v>
      </c>
      <c r="C18" s="7">
        <v>10</v>
      </c>
      <c r="D18">
        <v>2</v>
      </c>
      <c r="E18" t="s">
        <v>133</v>
      </c>
      <c r="F18" t="s">
        <v>59</v>
      </c>
      <c r="G18">
        <v>3</v>
      </c>
      <c r="H18" t="s">
        <v>148</v>
      </c>
      <c r="I18" s="8">
        <v>9</v>
      </c>
      <c r="J18">
        <v>1</v>
      </c>
      <c r="K18" s="8">
        <v>9</v>
      </c>
      <c r="L18" s="12">
        <v>4</v>
      </c>
      <c r="M18" s="8" t="s">
        <v>37</v>
      </c>
      <c r="N18" t="s">
        <v>95</v>
      </c>
      <c r="O18" s="12">
        <v>7</v>
      </c>
      <c r="P18" s="2">
        <v>2018</v>
      </c>
      <c r="Q18">
        <v>8</v>
      </c>
      <c r="R18" s="35">
        <v>0.7359837962962964</v>
      </c>
    </row>
    <row r="19" spans="1:18" x14ac:dyDescent="0.25">
      <c r="A19">
        <v>18</v>
      </c>
      <c r="B19" s="9">
        <v>43289</v>
      </c>
      <c r="C19" s="7">
        <v>10</v>
      </c>
      <c r="D19">
        <v>26</v>
      </c>
      <c r="E19" t="s">
        <v>82</v>
      </c>
      <c r="F19" t="s">
        <v>28</v>
      </c>
      <c r="G19">
        <v>3</v>
      </c>
      <c r="H19" t="s">
        <v>148</v>
      </c>
      <c r="I19" s="8">
        <v>15</v>
      </c>
      <c r="J19">
        <v>1</v>
      </c>
      <c r="K19" s="8">
        <v>15</v>
      </c>
      <c r="L19" s="12">
        <v>4</v>
      </c>
      <c r="M19" s="8" t="s">
        <v>37</v>
      </c>
      <c r="N19" t="s">
        <v>95</v>
      </c>
      <c r="O19" s="12">
        <v>7</v>
      </c>
      <c r="P19" s="2">
        <v>2018</v>
      </c>
      <c r="Q19">
        <v>8</v>
      </c>
      <c r="R19" s="35">
        <v>0.7359837962962964</v>
      </c>
    </row>
    <row r="20" spans="1:18" x14ac:dyDescent="0.25">
      <c r="A20">
        <v>19</v>
      </c>
      <c r="B20" s="9">
        <v>43289</v>
      </c>
      <c r="C20" s="7">
        <v>11</v>
      </c>
      <c r="D20">
        <v>27</v>
      </c>
      <c r="E20" t="s">
        <v>83</v>
      </c>
      <c r="F20" t="s">
        <v>32</v>
      </c>
      <c r="G20">
        <v>6</v>
      </c>
      <c r="H20" t="s">
        <v>154</v>
      </c>
      <c r="I20" s="8">
        <v>80</v>
      </c>
      <c r="J20">
        <v>2</v>
      </c>
      <c r="K20" s="8">
        <v>160</v>
      </c>
      <c r="L20" s="12">
        <v>13</v>
      </c>
      <c r="M20" s="8" t="s">
        <v>46</v>
      </c>
      <c r="N20" t="s">
        <v>95</v>
      </c>
      <c r="O20" s="12">
        <v>7</v>
      </c>
      <c r="P20" s="2">
        <v>2018</v>
      </c>
      <c r="Q20">
        <v>8</v>
      </c>
      <c r="R20" s="35">
        <v>0.85476851851851843</v>
      </c>
    </row>
    <row r="21" spans="1:18" x14ac:dyDescent="0.25">
      <c r="A21">
        <v>20</v>
      </c>
      <c r="B21" s="9">
        <v>43289</v>
      </c>
      <c r="C21" s="7">
        <v>11</v>
      </c>
      <c r="D21">
        <v>5</v>
      </c>
      <c r="E21" t="s">
        <v>64</v>
      </c>
      <c r="F21" t="s">
        <v>59</v>
      </c>
      <c r="G21">
        <v>6</v>
      </c>
      <c r="H21" t="s">
        <v>154</v>
      </c>
      <c r="I21" s="8">
        <v>5</v>
      </c>
      <c r="J21">
        <v>4</v>
      </c>
      <c r="K21" s="8">
        <v>20</v>
      </c>
      <c r="L21" s="12">
        <v>13</v>
      </c>
      <c r="M21" s="8" t="s">
        <v>46</v>
      </c>
      <c r="N21" t="s">
        <v>95</v>
      </c>
      <c r="O21" s="12">
        <v>7</v>
      </c>
      <c r="P21" s="2">
        <v>2018</v>
      </c>
      <c r="Q21">
        <v>8</v>
      </c>
      <c r="R21" s="35">
        <v>0.85476851851851843</v>
      </c>
    </row>
    <row r="22" spans="1:18" x14ac:dyDescent="0.25">
      <c r="A22">
        <v>21</v>
      </c>
      <c r="B22" s="9">
        <v>43289</v>
      </c>
      <c r="C22" s="7">
        <v>11</v>
      </c>
      <c r="D22">
        <v>10</v>
      </c>
      <c r="E22" t="s">
        <v>65</v>
      </c>
      <c r="F22" t="s">
        <v>31</v>
      </c>
      <c r="G22">
        <v>6</v>
      </c>
      <c r="H22" t="s">
        <v>154</v>
      </c>
      <c r="I22" s="8">
        <v>4</v>
      </c>
      <c r="J22">
        <v>4</v>
      </c>
      <c r="K22" s="8">
        <v>16</v>
      </c>
      <c r="L22" s="12">
        <v>13</v>
      </c>
      <c r="M22" s="8" t="s">
        <v>46</v>
      </c>
      <c r="N22" t="s">
        <v>95</v>
      </c>
      <c r="O22" s="12">
        <v>7</v>
      </c>
      <c r="P22" s="2">
        <v>2018</v>
      </c>
      <c r="Q22">
        <v>8</v>
      </c>
      <c r="R22" s="35">
        <v>0.85476851851851843</v>
      </c>
    </row>
    <row r="23" spans="1:18" x14ac:dyDescent="0.25">
      <c r="A23">
        <v>22</v>
      </c>
      <c r="B23" s="9">
        <v>43289</v>
      </c>
      <c r="C23" s="7">
        <v>11</v>
      </c>
      <c r="D23">
        <v>12</v>
      </c>
      <c r="E23" t="s">
        <v>53</v>
      </c>
      <c r="F23" t="s">
        <v>31</v>
      </c>
      <c r="G23">
        <v>6</v>
      </c>
      <c r="H23" t="s">
        <v>154</v>
      </c>
      <c r="I23" s="8">
        <v>6</v>
      </c>
      <c r="J23">
        <v>4</v>
      </c>
      <c r="K23" s="8">
        <v>24</v>
      </c>
      <c r="L23" s="12">
        <v>13</v>
      </c>
      <c r="M23" s="8" t="s">
        <v>46</v>
      </c>
      <c r="N23" t="s">
        <v>95</v>
      </c>
      <c r="O23" s="12">
        <v>7</v>
      </c>
      <c r="P23" s="2">
        <v>2018</v>
      </c>
      <c r="Q23">
        <v>8</v>
      </c>
      <c r="R23" s="35">
        <v>0.85476851851851843</v>
      </c>
    </row>
    <row r="24" spans="1:18" x14ac:dyDescent="0.25">
      <c r="A24">
        <v>23</v>
      </c>
      <c r="B24" s="9">
        <v>43289</v>
      </c>
      <c r="C24" s="7">
        <v>11</v>
      </c>
      <c r="D24">
        <v>7</v>
      </c>
      <c r="E24" t="s">
        <v>132</v>
      </c>
      <c r="F24" t="s">
        <v>59</v>
      </c>
      <c r="G24">
        <v>6</v>
      </c>
      <c r="H24" t="s">
        <v>154</v>
      </c>
      <c r="I24" s="8">
        <v>7</v>
      </c>
      <c r="J24">
        <v>1</v>
      </c>
      <c r="K24" s="8">
        <v>7</v>
      </c>
      <c r="L24" s="12">
        <v>13</v>
      </c>
      <c r="M24" s="8" t="s">
        <v>162</v>
      </c>
      <c r="N24" t="s">
        <v>95</v>
      </c>
      <c r="O24" s="12">
        <v>7</v>
      </c>
      <c r="P24" s="2">
        <v>2018</v>
      </c>
      <c r="Q24">
        <v>8</v>
      </c>
      <c r="R24" s="35">
        <v>0.85476851851851843</v>
      </c>
    </row>
    <row r="25" spans="1:18" x14ac:dyDescent="0.25">
      <c r="A25">
        <v>24</v>
      </c>
      <c r="B25" s="9">
        <v>43289</v>
      </c>
      <c r="C25" s="7">
        <v>12</v>
      </c>
      <c r="D25">
        <v>15</v>
      </c>
      <c r="E25" t="s">
        <v>67</v>
      </c>
      <c r="F25" t="s">
        <v>60</v>
      </c>
      <c r="G25">
        <v>0</v>
      </c>
      <c r="H25" t="s">
        <v>141</v>
      </c>
      <c r="I25" s="8">
        <v>5</v>
      </c>
      <c r="J25">
        <v>2</v>
      </c>
      <c r="K25" s="8">
        <v>10</v>
      </c>
      <c r="L25" s="12">
        <v>0</v>
      </c>
      <c r="M25" s="8" t="s">
        <v>138</v>
      </c>
      <c r="N25" t="s">
        <v>95</v>
      </c>
      <c r="O25" s="12">
        <v>7</v>
      </c>
      <c r="P25" s="2">
        <v>2018</v>
      </c>
      <c r="Q25">
        <v>8</v>
      </c>
      <c r="R25" s="35">
        <v>0.85767361111111118</v>
      </c>
    </row>
    <row r="26" spans="1:18" x14ac:dyDescent="0.25">
      <c r="A26">
        <v>25</v>
      </c>
      <c r="B26" s="9">
        <v>43289</v>
      </c>
      <c r="C26" s="7">
        <v>12</v>
      </c>
      <c r="D26">
        <v>25</v>
      </c>
      <c r="E26" t="s">
        <v>81</v>
      </c>
      <c r="F26" t="s">
        <v>28</v>
      </c>
      <c r="G26">
        <v>0</v>
      </c>
      <c r="H26" t="s">
        <v>141</v>
      </c>
      <c r="I26" s="8">
        <v>15</v>
      </c>
      <c r="J26">
        <v>2</v>
      </c>
      <c r="K26" s="8">
        <v>30</v>
      </c>
      <c r="L26" s="12">
        <v>0</v>
      </c>
      <c r="M26" s="8" t="s">
        <v>138</v>
      </c>
      <c r="N26" t="s">
        <v>95</v>
      </c>
      <c r="O26" s="12">
        <v>7</v>
      </c>
      <c r="P26" s="2">
        <v>2018</v>
      </c>
      <c r="Q26">
        <v>8</v>
      </c>
      <c r="R26" s="35">
        <v>0.85767361111111118</v>
      </c>
    </row>
    <row r="27" spans="1:18" x14ac:dyDescent="0.25">
      <c r="A27">
        <v>26</v>
      </c>
      <c r="B27" s="9">
        <v>43289</v>
      </c>
      <c r="C27" s="7">
        <v>13</v>
      </c>
      <c r="D27">
        <v>31</v>
      </c>
      <c r="E27" t="s">
        <v>87</v>
      </c>
      <c r="F27" t="s">
        <v>33</v>
      </c>
      <c r="G27">
        <v>4</v>
      </c>
      <c r="H27" t="s">
        <v>58</v>
      </c>
      <c r="I27" s="8">
        <v>40</v>
      </c>
      <c r="J27">
        <v>2</v>
      </c>
      <c r="K27" s="8">
        <v>80</v>
      </c>
      <c r="L27" s="12">
        <v>1</v>
      </c>
      <c r="M27" s="8" t="s">
        <v>34</v>
      </c>
      <c r="N27" t="s">
        <v>95</v>
      </c>
      <c r="O27" s="12">
        <v>7</v>
      </c>
      <c r="P27" s="2">
        <v>2018</v>
      </c>
      <c r="Q27">
        <v>8</v>
      </c>
      <c r="R27" s="35">
        <v>0.8627893518518519</v>
      </c>
    </row>
    <row r="28" spans="1:18" x14ac:dyDescent="0.25">
      <c r="A28">
        <v>27</v>
      </c>
      <c r="B28" s="9">
        <v>43289</v>
      </c>
      <c r="C28" s="7">
        <v>13</v>
      </c>
      <c r="D28">
        <v>5</v>
      </c>
      <c r="E28" t="s">
        <v>64</v>
      </c>
      <c r="F28" t="s">
        <v>59</v>
      </c>
      <c r="G28">
        <v>4</v>
      </c>
      <c r="H28" t="s">
        <v>58</v>
      </c>
      <c r="I28" s="8">
        <v>5</v>
      </c>
      <c r="J28">
        <v>5</v>
      </c>
      <c r="K28" s="8">
        <v>25</v>
      </c>
      <c r="L28" s="12">
        <v>1</v>
      </c>
      <c r="M28" s="8" t="s">
        <v>34</v>
      </c>
      <c r="N28" t="s">
        <v>95</v>
      </c>
      <c r="O28" s="12">
        <v>7</v>
      </c>
      <c r="P28" s="2">
        <v>2018</v>
      </c>
      <c r="Q28">
        <v>8</v>
      </c>
      <c r="R28" s="35">
        <v>0.8627893518518519</v>
      </c>
    </row>
    <row r="29" spans="1:18" x14ac:dyDescent="0.25">
      <c r="A29">
        <v>28</v>
      </c>
      <c r="B29" s="9">
        <v>43289</v>
      </c>
      <c r="C29" s="7">
        <v>13</v>
      </c>
      <c r="D29">
        <v>15</v>
      </c>
      <c r="E29" t="s">
        <v>67</v>
      </c>
      <c r="F29" t="s">
        <v>60</v>
      </c>
      <c r="G29">
        <v>4</v>
      </c>
      <c r="H29" t="s">
        <v>58</v>
      </c>
      <c r="I29" s="8">
        <v>5</v>
      </c>
      <c r="J29">
        <v>3</v>
      </c>
      <c r="K29" s="8">
        <v>15</v>
      </c>
      <c r="L29" s="12">
        <v>1</v>
      </c>
      <c r="M29" s="8" t="s">
        <v>34</v>
      </c>
      <c r="N29" t="s">
        <v>95</v>
      </c>
      <c r="O29" s="12">
        <v>7</v>
      </c>
      <c r="P29" s="2">
        <v>2018</v>
      </c>
      <c r="Q29">
        <v>8</v>
      </c>
      <c r="R29" s="35">
        <v>0.8627893518518519</v>
      </c>
    </row>
    <row r="30" spans="1:18" x14ac:dyDescent="0.25">
      <c r="A30">
        <v>29</v>
      </c>
      <c r="B30" s="9">
        <v>43289</v>
      </c>
      <c r="C30" s="7">
        <v>13</v>
      </c>
      <c r="D30">
        <v>35</v>
      </c>
      <c r="E30" t="s">
        <v>91</v>
      </c>
      <c r="F30" t="s">
        <v>33</v>
      </c>
      <c r="G30">
        <v>4</v>
      </c>
      <c r="H30" t="s">
        <v>58</v>
      </c>
      <c r="I30" s="8">
        <v>20</v>
      </c>
      <c r="J30">
        <v>1</v>
      </c>
      <c r="K30" s="8">
        <v>20</v>
      </c>
      <c r="L30" s="12">
        <v>1</v>
      </c>
      <c r="M30" s="8" t="s">
        <v>34</v>
      </c>
      <c r="N30" t="s">
        <v>95</v>
      </c>
      <c r="O30" s="12">
        <v>7</v>
      </c>
      <c r="P30" s="2">
        <v>2018</v>
      </c>
      <c r="Q30">
        <v>8</v>
      </c>
      <c r="R30" s="35">
        <v>0.8627893518518519</v>
      </c>
    </row>
    <row r="31" spans="1:18" x14ac:dyDescent="0.25">
      <c r="A31">
        <v>30</v>
      </c>
      <c r="B31" s="9">
        <v>43289</v>
      </c>
      <c r="C31" s="7">
        <v>14</v>
      </c>
      <c r="D31">
        <v>2</v>
      </c>
      <c r="E31" t="s">
        <v>133</v>
      </c>
      <c r="F31" t="s">
        <v>59</v>
      </c>
      <c r="G31">
        <v>0</v>
      </c>
      <c r="H31" t="s">
        <v>141</v>
      </c>
      <c r="I31" s="8">
        <v>9</v>
      </c>
      <c r="J31">
        <v>2</v>
      </c>
      <c r="K31" s="8">
        <v>18</v>
      </c>
      <c r="L31" s="12">
        <v>0</v>
      </c>
      <c r="M31" s="8" t="s">
        <v>138</v>
      </c>
      <c r="N31" t="s">
        <v>95</v>
      </c>
      <c r="O31" s="12">
        <v>7</v>
      </c>
      <c r="P31" s="2">
        <v>2018</v>
      </c>
      <c r="Q31">
        <v>8</v>
      </c>
      <c r="R31" s="35">
        <v>0.8633912037037037</v>
      </c>
    </row>
    <row r="32" spans="1:18" x14ac:dyDescent="0.25">
      <c r="A32">
        <v>31</v>
      </c>
      <c r="B32" s="9">
        <v>43289</v>
      </c>
      <c r="C32" s="7">
        <v>15</v>
      </c>
      <c r="D32">
        <v>27</v>
      </c>
      <c r="E32" t="s">
        <v>83</v>
      </c>
      <c r="F32" t="s">
        <v>32</v>
      </c>
      <c r="G32">
        <v>5</v>
      </c>
      <c r="H32" t="s">
        <v>153</v>
      </c>
      <c r="I32" s="8">
        <v>80</v>
      </c>
      <c r="J32">
        <v>2</v>
      </c>
      <c r="K32" s="8">
        <v>160</v>
      </c>
      <c r="L32" s="12">
        <v>1</v>
      </c>
      <c r="M32" s="8" t="s">
        <v>34</v>
      </c>
      <c r="N32" t="s">
        <v>95</v>
      </c>
      <c r="O32" s="12">
        <v>7</v>
      </c>
      <c r="P32" s="2">
        <v>2018</v>
      </c>
      <c r="Q32">
        <v>8</v>
      </c>
      <c r="R32" s="35">
        <v>0.86670138888888892</v>
      </c>
    </row>
    <row r="33" spans="1:18" x14ac:dyDescent="0.25">
      <c r="A33">
        <v>32</v>
      </c>
      <c r="B33" s="9">
        <v>43289</v>
      </c>
      <c r="C33" s="7">
        <v>15</v>
      </c>
      <c r="D33">
        <v>15</v>
      </c>
      <c r="E33" t="s">
        <v>67</v>
      </c>
      <c r="F33" t="s">
        <v>60</v>
      </c>
      <c r="G33">
        <v>5</v>
      </c>
      <c r="H33" t="s">
        <v>153</v>
      </c>
      <c r="I33" s="8">
        <v>5</v>
      </c>
      <c r="J33">
        <v>4</v>
      </c>
      <c r="K33" s="8">
        <v>20</v>
      </c>
      <c r="L33" s="12">
        <v>1</v>
      </c>
      <c r="M33" s="8" t="s">
        <v>34</v>
      </c>
      <c r="N33" t="s">
        <v>95</v>
      </c>
      <c r="O33" s="12">
        <v>7</v>
      </c>
      <c r="P33" s="2">
        <v>2018</v>
      </c>
      <c r="Q33">
        <v>8</v>
      </c>
      <c r="R33" s="35">
        <v>0.86670138888888892</v>
      </c>
    </row>
    <row r="34" spans="1:18" x14ac:dyDescent="0.25">
      <c r="A34">
        <v>33</v>
      </c>
      <c r="B34" s="9">
        <v>43289</v>
      </c>
      <c r="C34" s="7">
        <v>15</v>
      </c>
      <c r="D34">
        <v>5</v>
      </c>
      <c r="E34" t="s">
        <v>64</v>
      </c>
      <c r="F34" t="s">
        <v>59</v>
      </c>
      <c r="G34">
        <v>5</v>
      </c>
      <c r="H34" t="s">
        <v>153</v>
      </c>
      <c r="I34" s="8">
        <v>5</v>
      </c>
      <c r="J34">
        <v>6</v>
      </c>
      <c r="K34" s="8">
        <v>30</v>
      </c>
      <c r="L34" s="12">
        <v>1</v>
      </c>
      <c r="M34" s="8" t="s">
        <v>34</v>
      </c>
      <c r="N34" t="s">
        <v>95</v>
      </c>
      <c r="O34" s="12">
        <v>7</v>
      </c>
      <c r="P34" s="2">
        <v>2018</v>
      </c>
      <c r="Q34">
        <v>8</v>
      </c>
      <c r="R34" s="35">
        <v>0.86670138888888892</v>
      </c>
    </row>
    <row r="35" spans="1:18" x14ac:dyDescent="0.25">
      <c r="A35">
        <v>34</v>
      </c>
      <c r="B35" s="9">
        <v>43289</v>
      </c>
      <c r="C35" s="7">
        <v>15</v>
      </c>
      <c r="D35">
        <v>5</v>
      </c>
      <c r="E35" t="s">
        <v>64</v>
      </c>
      <c r="F35" t="s">
        <v>59</v>
      </c>
      <c r="G35">
        <v>5</v>
      </c>
      <c r="H35" t="s">
        <v>153</v>
      </c>
      <c r="I35" s="8">
        <v>5</v>
      </c>
      <c r="J35">
        <v>2</v>
      </c>
      <c r="K35" s="8">
        <v>10</v>
      </c>
      <c r="L35" s="12">
        <v>1</v>
      </c>
      <c r="M35" s="8" t="s">
        <v>142</v>
      </c>
      <c r="N35" t="s">
        <v>95</v>
      </c>
      <c r="O35" s="12">
        <v>7</v>
      </c>
      <c r="P35" s="2">
        <v>2018</v>
      </c>
      <c r="Q35">
        <v>8</v>
      </c>
      <c r="R35" s="35">
        <v>0.86670138888888892</v>
      </c>
    </row>
    <row r="36" spans="1:18" x14ac:dyDescent="0.25">
      <c r="A36">
        <v>35</v>
      </c>
      <c r="B36" s="9">
        <v>43289</v>
      </c>
      <c r="C36" s="7">
        <v>15</v>
      </c>
      <c r="D36">
        <v>10</v>
      </c>
      <c r="E36" t="s">
        <v>65</v>
      </c>
      <c r="F36" t="s">
        <v>31</v>
      </c>
      <c r="G36">
        <v>5</v>
      </c>
      <c r="H36" t="s">
        <v>153</v>
      </c>
      <c r="I36" s="8">
        <v>4</v>
      </c>
      <c r="J36">
        <v>3</v>
      </c>
      <c r="K36" s="8">
        <v>12</v>
      </c>
      <c r="L36" s="12">
        <v>1</v>
      </c>
      <c r="M36" s="8" t="s">
        <v>142</v>
      </c>
      <c r="N36" t="s">
        <v>95</v>
      </c>
      <c r="O36" s="12">
        <v>7</v>
      </c>
      <c r="P36" s="2">
        <v>2018</v>
      </c>
      <c r="Q36">
        <v>8</v>
      </c>
      <c r="R36" s="35">
        <v>0.86670138888888892</v>
      </c>
    </row>
    <row r="37" spans="1:18" x14ac:dyDescent="0.25">
      <c r="A37">
        <v>36</v>
      </c>
      <c r="B37" s="9">
        <v>43289</v>
      </c>
      <c r="C37" s="7">
        <v>16</v>
      </c>
      <c r="D37">
        <v>4</v>
      </c>
      <c r="E37" t="s">
        <v>134</v>
      </c>
      <c r="F37" t="s">
        <v>59</v>
      </c>
      <c r="G37">
        <v>6</v>
      </c>
      <c r="H37" t="s">
        <v>154</v>
      </c>
      <c r="I37" s="8">
        <v>5</v>
      </c>
      <c r="J37">
        <v>2</v>
      </c>
      <c r="K37" s="8">
        <v>10</v>
      </c>
      <c r="L37" s="12">
        <v>3</v>
      </c>
      <c r="M37" s="8" t="s">
        <v>36</v>
      </c>
      <c r="N37" t="s">
        <v>95</v>
      </c>
      <c r="O37" s="12">
        <v>7</v>
      </c>
      <c r="P37" s="2">
        <v>2018</v>
      </c>
      <c r="Q37">
        <v>8</v>
      </c>
      <c r="R37" s="35">
        <v>0.86702546296296301</v>
      </c>
    </row>
    <row r="38" spans="1:18" x14ac:dyDescent="0.25">
      <c r="A38">
        <v>37</v>
      </c>
      <c r="B38" s="9">
        <v>43289</v>
      </c>
      <c r="C38" s="7">
        <v>16</v>
      </c>
      <c r="D38">
        <v>27</v>
      </c>
      <c r="E38" t="s">
        <v>83</v>
      </c>
      <c r="F38" t="s">
        <v>32</v>
      </c>
      <c r="G38">
        <v>6</v>
      </c>
      <c r="H38" t="s">
        <v>154</v>
      </c>
      <c r="I38" s="8">
        <v>80</v>
      </c>
      <c r="J38">
        <v>2</v>
      </c>
      <c r="K38" s="8">
        <v>160</v>
      </c>
      <c r="L38" s="12">
        <v>3</v>
      </c>
      <c r="M38" s="8" t="s">
        <v>147</v>
      </c>
      <c r="N38" t="s">
        <v>95</v>
      </c>
      <c r="O38" s="12">
        <v>7</v>
      </c>
      <c r="P38" s="2">
        <v>2018</v>
      </c>
      <c r="Q38">
        <v>8</v>
      </c>
      <c r="R38" s="35">
        <v>0.86702546296296301</v>
      </c>
    </row>
    <row r="39" spans="1:18" x14ac:dyDescent="0.25">
      <c r="B39" s="9"/>
      <c r="R39" s="35"/>
    </row>
    <row r="40" spans="1:18" x14ac:dyDescent="0.25">
      <c r="B40" s="9"/>
      <c r="R40" s="35"/>
    </row>
    <row r="41" spans="1:18" x14ac:dyDescent="0.25">
      <c r="B41" s="9"/>
      <c r="R41" s="35"/>
    </row>
    <row r="42" spans="1:18" x14ac:dyDescent="0.25">
      <c r="B42" s="9"/>
      <c r="R42" s="35"/>
    </row>
    <row r="43" spans="1:18" x14ac:dyDescent="0.25">
      <c r="B43" s="9"/>
      <c r="R43" s="35"/>
    </row>
    <row r="44" spans="1:18" x14ac:dyDescent="0.25">
      <c r="B44" s="9"/>
      <c r="R44" s="35"/>
    </row>
    <row r="45" spans="1:18" x14ac:dyDescent="0.25">
      <c r="B45" s="9"/>
      <c r="R45" s="35"/>
    </row>
    <row r="46" spans="1:18" x14ac:dyDescent="0.25">
      <c r="B46" s="9"/>
      <c r="R46" s="35"/>
    </row>
    <row r="47" spans="1:18" x14ac:dyDescent="0.25">
      <c r="B47" s="9"/>
      <c r="R47" s="35"/>
    </row>
    <row r="48" spans="1:18" x14ac:dyDescent="0.25">
      <c r="B48" s="9"/>
      <c r="R48" s="35"/>
    </row>
    <row r="49" spans="2:18" x14ac:dyDescent="0.25">
      <c r="B49" s="9"/>
      <c r="R49" s="35"/>
    </row>
    <row r="50" spans="2:18" x14ac:dyDescent="0.25">
      <c r="B50" s="9"/>
      <c r="R50" s="35"/>
    </row>
    <row r="51" spans="2:18" x14ac:dyDescent="0.25">
      <c r="B51" s="9"/>
      <c r="R51" s="35"/>
    </row>
    <row r="52" spans="2:18" x14ac:dyDescent="0.25">
      <c r="B52" s="9"/>
      <c r="R52" s="35"/>
    </row>
    <row r="53" spans="2:18" x14ac:dyDescent="0.25">
      <c r="B53" s="9"/>
      <c r="R53" s="35"/>
    </row>
    <row r="54" spans="2:18" x14ac:dyDescent="0.25">
      <c r="B54" s="9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7"/>
  <dimension ref="A1:Q17"/>
  <sheetViews>
    <sheetView zoomScale="80" zoomScaleNormal="80" workbookViewId="0">
      <pane ySplit="1" topLeftCell="A2" activePane="bottomLeft" state="frozen"/>
      <selection activeCell="C1" sqref="C1"/>
      <selection pane="bottomLeft" activeCell="C13" sqref="C13"/>
    </sheetView>
  </sheetViews>
  <sheetFormatPr defaultRowHeight="15" x14ac:dyDescent="0.25"/>
  <cols>
    <col min="1" max="1" width="13.7109375" style="12" customWidth="1"/>
    <col min="2" max="2" width="12" style="13" customWidth="1"/>
    <col min="3" max="3" width="14.85546875" style="14" bestFit="1" customWidth="1"/>
    <col min="4" max="4" width="16.140625" style="16" customWidth="1"/>
    <col min="5" max="5" width="18.140625" customWidth="1"/>
    <col min="6" max="6" width="23.7109375" customWidth="1"/>
    <col min="7" max="7" width="6.5703125" style="15" bestFit="1" customWidth="1"/>
    <col min="8" max="8" width="15" style="17" bestFit="1" customWidth="1"/>
    <col min="9" max="9" width="17.42578125" customWidth="1"/>
    <col min="10" max="10" width="15" style="8" bestFit="1" customWidth="1"/>
    <col min="11" max="11" width="14" style="8" bestFit="1" customWidth="1"/>
    <col min="12" max="12" width="20.28515625" bestFit="1" customWidth="1"/>
    <col min="13" max="13" width="10.5703125" style="18" customWidth="1"/>
    <col min="14" max="14" width="6.7109375" style="2" customWidth="1"/>
    <col min="15" max="15" width="10.85546875" style="12" customWidth="1"/>
    <col min="16" max="16" width="13.5703125" style="20" customWidth="1"/>
    <col min="17" max="17" width="18.28515625" style="36" bestFit="1" customWidth="1"/>
  </cols>
  <sheetData>
    <row r="1" spans="1:17" s="34" customFormat="1" ht="30" x14ac:dyDescent="0.25">
      <c r="A1" s="23" t="s">
        <v>20</v>
      </c>
      <c r="B1" s="24" t="s">
        <v>98</v>
      </c>
      <c r="C1" s="25" t="s">
        <v>155</v>
      </c>
      <c r="D1" s="22" t="s">
        <v>126</v>
      </c>
      <c r="E1" s="25" t="s">
        <v>25</v>
      </c>
      <c r="F1" s="26" t="s">
        <v>102</v>
      </c>
      <c r="G1" s="27" t="s">
        <v>103</v>
      </c>
      <c r="H1" s="28" t="s">
        <v>105</v>
      </c>
      <c r="I1" s="29" t="s">
        <v>108</v>
      </c>
      <c r="J1" s="30" t="s">
        <v>107</v>
      </c>
      <c r="K1" s="30" t="s">
        <v>109</v>
      </c>
      <c r="L1" s="26" t="s">
        <v>106</v>
      </c>
      <c r="M1" s="31" t="s">
        <v>110</v>
      </c>
      <c r="N1" s="32" t="s">
        <v>111</v>
      </c>
      <c r="O1" s="23" t="s">
        <v>99</v>
      </c>
      <c r="P1" s="33" t="s">
        <v>123</v>
      </c>
      <c r="Q1" s="41" t="s">
        <v>125</v>
      </c>
    </row>
    <row r="2" spans="1:17" x14ac:dyDescent="0.25">
      <c r="A2" s="12">
        <v>1</v>
      </c>
      <c r="B2" s="13">
        <v>0</v>
      </c>
      <c r="C2" s="14" t="s">
        <v>138</v>
      </c>
      <c r="D2" s="16">
        <f>SUMIFS(FLUXOVENDA!K:K,FLUXOVENDA!C:C,CODVENDA!A2,FLUXOVENDA!N:N,CONFIG!$G$5)</f>
        <v>0</v>
      </c>
      <c r="E2" t="s">
        <v>139</v>
      </c>
      <c r="F2" t="s">
        <v>138</v>
      </c>
      <c r="G2" s="15">
        <v>0.68833333333333335</v>
      </c>
      <c r="I2" t="s">
        <v>143</v>
      </c>
      <c r="J2" s="8">
        <v>2.7</v>
      </c>
      <c r="K2" s="8">
        <v>29.7</v>
      </c>
      <c r="L2" t="s">
        <v>120</v>
      </c>
      <c r="M2" s="18">
        <v>43289</v>
      </c>
      <c r="N2" s="2">
        <v>8</v>
      </c>
      <c r="O2" s="12">
        <v>7</v>
      </c>
      <c r="P2" s="20">
        <v>27</v>
      </c>
    </row>
    <row r="3" spans="1:17" x14ac:dyDescent="0.25">
      <c r="A3" s="12">
        <v>2</v>
      </c>
      <c r="B3" s="13">
        <v>0</v>
      </c>
      <c r="C3" s="14" t="s">
        <v>138</v>
      </c>
      <c r="D3" s="16">
        <f>SUMIFS(FLUXOVENDA!K:K,FLUXOVENDA!C:C,CODVENDA!A3,FLUXOVENDA!N:N,CONFIG!$G$5)</f>
        <v>0</v>
      </c>
      <c r="E3" t="s">
        <v>139</v>
      </c>
      <c r="F3" t="s">
        <v>138</v>
      </c>
      <c r="G3" s="15">
        <v>0.69155092592592593</v>
      </c>
      <c r="I3" t="s">
        <v>140</v>
      </c>
      <c r="J3" s="8">
        <v>0</v>
      </c>
      <c r="K3" s="8">
        <v>25</v>
      </c>
      <c r="L3" t="s">
        <v>113</v>
      </c>
      <c r="M3" s="18">
        <v>43289</v>
      </c>
      <c r="N3" s="2">
        <v>8</v>
      </c>
      <c r="O3" s="12">
        <v>7</v>
      </c>
      <c r="P3" s="20">
        <v>25</v>
      </c>
    </row>
    <row r="4" spans="1:17" x14ac:dyDescent="0.25">
      <c r="A4" s="12">
        <v>3</v>
      </c>
      <c r="B4" s="13">
        <v>0</v>
      </c>
      <c r="C4" s="14" t="s">
        <v>138</v>
      </c>
      <c r="D4" s="16">
        <f>SUMIFS(FLUXOVENDA!K:K,FLUXOVENDA!C:C,CODVENDA!A4,FLUXOVENDA!N:N,CONFIG!$G$5)</f>
        <v>0</v>
      </c>
      <c r="E4" t="s">
        <v>139</v>
      </c>
      <c r="F4" t="s">
        <v>138</v>
      </c>
      <c r="G4" s="15">
        <v>0.6931828703703703</v>
      </c>
      <c r="I4" t="s">
        <v>143</v>
      </c>
      <c r="J4" s="8">
        <v>1.5</v>
      </c>
      <c r="K4" s="8">
        <v>16.5</v>
      </c>
      <c r="L4" t="s">
        <v>114</v>
      </c>
      <c r="M4" s="18">
        <v>43289</v>
      </c>
      <c r="N4" s="2">
        <v>8</v>
      </c>
      <c r="O4" s="12">
        <v>7</v>
      </c>
      <c r="P4" s="20">
        <v>15</v>
      </c>
      <c r="Q4" s="36" t="s">
        <v>104</v>
      </c>
    </row>
    <row r="5" spans="1:17" x14ac:dyDescent="0.25">
      <c r="A5" s="12">
        <v>4</v>
      </c>
      <c r="B5" s="13">
        <v>1</v>
      </c>
      <c r="C5" s="14" t="s">
        <v>34</v>
      </c>
      <c r="D5" s="16">
        <f>SUMIFS(FLUXOVENDA!K:K,FLUXOVENDA!C:C,CODVENDA!A5,FLUXOVENDA!N:N,CONFIG!$G$2)</f>
        <v>0</v>
      </c>
      <c r="E5" t="s">
        <v>139</v>
      </c>
      <c r="F5" t="s">
        <v>148</v>
      </c>
      <c r="G5" s="15">
        <v>0.70484953703703701</v>
      </c>
      <c r="H5" s="17">
        <v>0.70511574074074079</v>
      </c>
      <c r="I5" t="s">
        <v>143</v>
      </c>
      <c r="J5" s="8">
        <v>8.1999999999999993</v>
      </c>
      <c r="K5" s="8">
        <v>90.2</v>
      </c>
      <c r="L5" t="s">
        <v>120</v>
      </c>
      <c r="M5" s="18">
        <v>43289</v>
      </c>
      <c r="N5" s="2">
        <v>8</v>
      </c>
      <c r="O5" s="12">
        <v>7</v>
      </c>
      <c r="P5" s="20">
        <v>82</v>
      </c>
    </row>
    <row r="6" spans="1:17" x14ac:dyDescent="0.25">
      <c r="A6" s="12">
        <v>5</v>
      </c>
      <c r="B6" s="13">
        <v>0</v>
      </c>
      <c r="C6" s="14" t="s">
        <v>138</v>
      </c>
      <c r="D6" s="16">
        <f>SUMIFS(FLUXOVENDA!K:K,FLUXOVENDA!C:C,CODVENDA!A6,FLUXOVENDA!N:N,CONFIG!$G$5)</f>
        <v>0</v>
      </c>
      <c r="E6" t="s">
        <v>139</v>
      </c>
      <c r="F6" t="s">
        <v>138</v>
      </c>
      <c r="G6" s="15">
        <v>0.70541666666666669</v>
      </c>
      <c r="I6" t="s">
        <v>140</v>
      </c>
      <c r="J6" s="8">
        <v>0</v>
      </c>
      <c r="K6" s="8">
        <v>5</v>
      </c>
      <c r="L6" t="s">
        <v>113</v>
      </c>
      <c r="M6" s="18">
        <v>43289</v>
      </c>
      <c r="N6" s="2">
        <v>8</v>
      </c>
      <c r="O6" s="12">
        <v>7</v>
      </c>
      <c r="P6" s="20">
        <v>5</v>
      </c>
      <c r="Q6" s="36" t="s">
        <v>104</v>
      </c>
    </row>
    <row r="7" spans="1:17" x14ac:dyDescent="0.25">
      <c r="A7" s="12">
        <v>6</v>
      </c>
      <c r="B7" s="13">
        <v>1</v>
      </c>
      <c r="C7" s="14" t="s">
        <v>34</v>
      </c>
      <c r="D7" s="16">
        <f>SUMIFS(FLUXOVENDA!K:K,FLUXOVENDA!C:C,CODVENDA!A7,FLUXOVENDA!N:N,CONFIG!$G$2)</f>
        <v>0</v>
      </c>
      <c r="E7" t="s">
        <v>139</v>
      </c>
      <c r="F7" t="s">
        <v>55</v>
      </c>
      <c r="G7" s="15">
        <v>0.70954861111111101</v>
      </c>
      <c r="H7" s="17">
        <v>0.70954861111111101</v>
      </c>
      <c r="I7" t="s">
        <v>143</v>
      </c>
      <c r="J7" s="8">
        <v>10.5</v>
      </c>
      <c r="K7" s="8">
        <v>115.5</v>
      </c>
      <c r="L7" t="s">
        <v>114</v>
      </c>
      <c r="M7" s="18">
        <v>43289</v>
      </c>
      <c r="N7" s="2">
        <v>8</v>
      </c>
      <c r="O7" s="12">
        <v>7</v>
      </c>
      <c r="P7" s="20">
        <v>105</v>
      </c>
      <c r="Q7" s="36" t="s">
        <v>104</v>
      </c>
    </row>
    <row r="8" spans="1:17" x14ac:dyDescent="0.25">
      <c r="A8" s="12">
        <v>7</v>
      </c>
      <c r="B8" s="13">
        <v>0</v>
      </c>
      <c r="C8" s="14" t="s">
        <v>138</v>
      </c>
      <c r="D8" s="16">
        <f>SUMIFS(FLUXOVENDA!K:K,FLUXOVENDA!C:C,CODVENDA!A8,FLUXOVENDA!N:N,CONFIG!$G$5)</f>
        <v>0</v>
      </c>
      <c r="E8" t="s">
        <v>139</v>
      </c>
      <c r="F8" t="s">
        <v>138</v>
      </c>
      <c r="G8" s="15">
        <v>0.73517361111111112</v>
      </c>
      <c r="I8" t="s">
        <v>140</v>
      </c>
      <c r="J8" s="8">
        <v>0</v>
      </c>
      <c r="K8" s="8">
        <v>15</v>
      </c>
      <c r="L8" t="s">
        <v>113</v>
      </c>
      <c r="M8" s="18">
        <v>43289</v>
      </c>
      <c r="N8" s="2">
        <v>8</v>
      </c>
      <c r="O8" s="12">
        <v>7</v>
      </c>
      <c r="P8" s="20">
        <v>15</v>
      </c>
      <c r="Q8" s="36" t="s">
        <v>104</v>
      </c>
    </row>
    <row r="9" spans="1:17" x14ac:dyDescent="0.25">
      <c r="A9" s="12">
        <v>8</v>
      </c>
      <c r="B9" s="13">
        <v>0</v>
      </c>
      <c r="C9" s="14" t="s">
        <v>138</v>
      </c>
      <c r="D9" s="16">
        <f>SUMIFS(FLUXOVENDA!K:K,FLUXOVENDA!C:C,CODVENDA!A9,FLUXOVENDA!N:N,CONFIG!$G$5)</f>
        <v>0</v>
      </c>
      <c r="E9" t="s">
        <v>139</v>
      </c>
      <c r="F9" t="s">
        <v>138</v>
      </c>
      <c r="G9" s="15">
        <v>0.73527777777777781</v>
      </c>
      <c r="I9" t="s">
        <v>140</v>
      </c>
      <c r="J9" s="8">
        <v>0</v>
      </c>
      <c r="K9" s="8">
        <v>25</v>
      </c>
      <c r="L9" t="s">
        <v>120</v>
      </c>
      <c r="M9" s="18">
        <v>43289</v>
      </c>
      <c r="N9" s="2">
        <v>8</v>
      </c>
      <c r="O9" s="12">
        <v>7</v>
      </c>
      <c r="P9" s="20">
        <v>25</v>
      </c>
      <c r="Q9" s="36" t="s">
        <v>104</v>
      </c>
    </row>
    <row r="10" spans="1:17" x14ac:dyDescent="0.25">
      <c r="A10" s="12">
        <v>9</v>
      </c>
      <c r="B10" s="13">
        <v>0</v>
      </c>
      <c r="C10" s="14" t="s">
        <v>138</v>
      </c>
      <c r="D10" s="16">
        <f>SUMIFS(FLUXOVENDA!K:K,FLUXOVENDA!C:C,CODVENDA!A10,FLUXOVENDA!N:N,CONFIG!$G$5)</f>
        <v>0</v>
      </c>
      <c r="E10" t="s">
        <v>139</v>
      </c>
      <c r="F10" t="s">
        <v>138</v>
      </c>
      <c r="G10" s="15">
        <v>0.7354398148148148</v>
      </c>
      <c r="I10" t="s">
        <v>140</v>
      </c>
      <c r="J10" s="8">
        <v>0</v>
      </c>
      <c r="K10" s="8">
        <v>14</v>
      </c>
      <c r="L10" t="s">
        <v>120</v>
      </c>
      <c r="M10" s="18">
        <v>43289</v>
      </c>
      <c r="N10" s="2">
        <v>8</v>
      </c>
      <c r="O10" s="12">
        <v>7</v>
      </c>
      <c r="P10" s="20">
        <v>14</v>
      </c>
      <c r="Q10" s="36" t="s">
        <v>149</v>
      </c>
    </row>
    <row r="11" spans="1:17" x14ac:dyDescent="0.25">
      <c r="A11" s="12">
        <v>10</v>
      </c>
      <c r="B11" s="13">
        <v>4</v>
      </c>
      <c r="C11" s="14" t="s">
        <v>37</v>
      </c>
      <c r="D11" s="16">
        <f>SUMIFS(FLUXOVENDA!K:K,FLUXOVENDA!C:C,CODVENDA!A11,FLUXOVENDA!N:N,CONFIG!$G$2)</f>
        <v>0</v>
      </c>
      <c r="E11" t="s">
        <v>139</v>
      </c>
      <c r="F11" t="s">
        <v>148</v>
      </c>
      <c r="G11" s="15">
        <v>0.73583333333333334</v>
      </c>
      <c r="I11" t="s">
        <v>143</v>
      </c>
      <c r="J11" s="8">
        <v>2.4</v>
      </c>
      <c r="K11" s="8">
        <v>26.4</v>
      </c>
      <c r="L11" t="s">
        <v>114</v>
      </c>
      <c r="M11" s="18">
        <v>43289</v>
      </c>
      <c r="N11" s="2">
        <v>8</v>
      </c>
      <c r="O11" s="12">
        <v>7</v>
      </c>
      <c r="P11" s="20">
        <v>24</v>
      </c>
    </row>
    <row r="12" spans="1:17" x14ac:dyDescent="0.25">
      <c r="A12" s="12">
        <v>11</v>
      </c>
      <c r="B12" s="13">
        <v>13</v>
      </c>
      <c r="C12" s="14" t="s">
        <v>46</v>
      </c>
      <c r="D12" s="16">
        <f>SUMIFS(FLUXOVENDA!K:K,FLUXOVENDA!C:C,CODVENDA!A12,FLUXOVENDA!N:N,CONFIG!$G$2)</f>
        <v>0</v>
      </c>
      <c r="E12" t="s">
        <v>139</v>
      </c>
      <c r="F12" t="s">
        <v>154</v>
      </c>
      <c r="G12" s="15">
        <v>0.85436342592592596</v>
      </c>
      <c r="H12" s="17">
        <v>0.85451388888888891</v>
      </c>
      <c r="I12" t="s">
        <v>143</v>
      </c>
      <c r="J12" s="8">
        <v>22.7</v>
      </c>
      <c r="K12" s="8">
        <v>249.7</v>
      </c>
      <c r="L12" t="s">
        <v>114</v>
      </c>
      <c r="M12" s="18">
        <v>43289</v>
      </c>
      <c r="N12" s="2">
        <v>8</v>
      </c>
      <c r="O12" s="12">
        <v>7</v>
      </c>
      <c r="P12" s="20">
        <v>227</v>
      </c>
    </row>
    <row r="13" spans="1:17" x14ac:dyDescent="0.25">
      <c r="A13" s="12">
        <v>12</v>
      </c>
      <c r="B13" s="13">
        <v>0</v>
      </c>
      <c r="C13" s="14" t="s">
        <v>138</v>
      </c>
      <c r="D13" s="16">
        <f>SUMIFS(FLUXOVENDA!K:K,FLUXOVENDA!C:C,CODVENDA!A13,FLUXOVENDA!N:N,CONFIG!$G$5)</f>
        <v>0</v>
      </c>
      <c r="E13" t="s">
        <v>139</v>
      </c>
      <c r="F13" t="s">
        <v>138</v>
      </c>
      <c r="G13" s="15">
        <v>0.85767361111111118</v>
      </c>
      <c r="I13" t="s">
        <v>140</v>
      </c>
      <c r="J13" s="8">
        <v>0</v>
      </c>
      <c r="K13" s="8">
        <v>40</v>
      </c>
      <c r="L13" t="s">
        <v>113</v>
      </c>
      <c r="M13" s="18">
        <v>43289</v>
      </c>
      <c r="N13" s="2">
        <v>8</v>
      </c>
      <c r="O13" s="12">
        <v>7</v>
      </c>
      <c r="P13" s="20">
        <v>40</v>
      </c>
    </row>
    <row r="14" spans="1:17" x14ac:dyDescent="0.25">
      <c r="A14" s="12">
        <v>13</v>
      </c>
      <c r="B14" s="13">
        <v>1</v>
      </c>
      <c r="C14" s="14" t="s">
        <v>34</v>
      </c>
      <c r="D14" s="16">
        <f>SUMIFS(FLUXOVENDA!K:K,FLUXOVENDA!C:C,CODVENDA!A14,FLUXOVENDA!N:N,CONFIG!$G$2)</f>
        <v>0</v>
      </c>
      <c r="E14" t="s">
        <v>139</v>
      </c>
      <c r="F14" t="s">
        <v>58</v>
      </c>
      <c r="G14" s="15">
        <v>0.86243055555555559</v>
      </c>
      <c r="I14" t="s">
        <v>143</v>
      </c>
      <c r="J14" s="8">
        <v>14</v>
      </c>
      <c r="K14" s="8">
        <v>154</v>
      </c>
      <c r="L14" t="s">
        <v>114</v>
      </c>
      <c r="M14" s="18">
        <v>43289</v>
      </c>
      <c r="N14" s="2">
        <v>8</v>
      </c>
      <c r="O14" s="12">
        <v>7</v>
      </c>
      <c r="P14" s="20">
        <v>140</v>
      </c>
    </row>
    <row r="15" spans="1:17" x14ac:dyDescent="0.25">
      <c r="A15" s="12">
        <v>14</v>
      </c>
      <c r="B15" s="13">
        <v>0</v>
      </c>
      <c r="C15" s="14" t="s">
        <v>138</v>
      </c>
      <c r="D15" s="16">
        <f>SUMIFS(FLUXOVENDA!K:K,FLUXOVENDA!C:C,CODVENDA!A15,FLUXOVENDA!N:N,CONFIG!$G$5)</f>
        <v>0</v>
      </c>
      <c r="E15" t="s">
        <v>139</v>
      </c>
      <c r="F15" t="s">
        <v>138</v>
      </c>
      <c r="G15" s="15">
        <v>0.8633912037037037</v>
      </c>
      <c r="I15" t="s">
        <v>140</v>
      </c>
      <c r="J15" s="8">
        <v>0</v>
      </c>
      <c r="K15" s="8">
        <v>18</v>
      </c>
      <c r="L15" t="s">
        <v>113</v>
      </c>
      <c r="M15" s="18">
        <v>43289</v>
      </c>
      <c r="N15" s="2">
        <v>8</v>
      </c>
      <c r="O15" s="12">
        <v>7</v>
      </c>
      <c r="P15" s="20">
        <v>18</v>
      </c>
    </row>
    <row r="16" spans="1:17" x14ac:dyDescent="0.25">
      <c r="A16" s="12">
        <v>15</v>
      </c>
      <c r="B16" s="13">
        <v>1</v>
      </c>
      <c r="C16" s="14" t="s">
        <v>34</v>
      </c>
      <c r="D16" s="16">
        <f>SUMIFS(FLUXOVENDA!K:K,FLUXOVENDA!C:C,CODVENDA!A16,FLUXOVENDA!N:N,CONFIG!$G$2)</f>
        <v>0</v>
      </c>
      <c r="E16" t="s">
        <v>139</v>
      </c>
      <c r="F16" t="s">
        <v>153</v>
      </c>
      <c r="G16" s="15">
        <v>0.86547453703703703</v>
      </c>
      <c r="H16" s="17">
        <v>0.8659027777777778</v>
      </c>
      <c r="I16" t="s">
        <v>143</v>
      </c>
      <c r="J16" s="8">
        <v>23.2</v>
      </c>
      <c r="K16" s="8">
        <v>255.2</v>
      </c>
      <c r="L16" t="s">
        <v>120</v>
      </c>
      <c r="M16" s="18">
        <v>43289</v>
      </c>
      <c r="N16" s="2">
        <v>8</v>
      </c>
      <c r="O16" s="12">
        <v>7</v>
      </c>
      <c r="P16" s="20">
        <v>232</v>
      </c>
    </row>
    <row r="17" spans="1:16" x14ac:dyDescent="0.25">
      <c r="A17" s="12">
        <v>16</v>
      </c>
      <c r="B17" s="13">
        <v>3</v>
      </c>
      <c r="C17" s="14" t="s">
        <v>36</v>
      </c>
      <c r="D17" s="16">
        <f>SUMIFS(FLUXOVENDA!K:K,FLUXOVENDA!C:C,CODVENDA!A17,FLUXOVENDA!N:N,CONFIG!$G$2)</f>
        <v>0</v>
      </c>
      <c r="E17" t="s">
        <v>139</v>
      </c>
      <c r="F17" t="s">
        <v>154</v>
      </c>
      <c r="G17" s="15">
        <v>0.86622685185185189</v>
      </c>
      <c r="H17" s="17">
        <v>0.86644675925925929</v>
      </c>
      <c r="I17" t="s">
        <v>143</v>
      </c>
      <c r="J17" s="8">
        <v>17</v>
      </c>
      <c r="K17" s="8">
        <v>187</v>
      </c>
      <c r="L17" t="s">
        <v>113</v>
      </c>
      <c r="M17" s="18">
        <v>43289</v>
      </c>
      <c r="N17" s="2">
        <v>8</v>
      </c>
      <c r="O17" s="12">
        <v>7</v>
      </c>
      <c r="P17" s="20">
        <v>170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8"/>
  <dimension ref="A1:K44"/>
  <sheetViews>
    <sheetView topLeftCell="B16" workbookViewId="0">
      <selection activeCell="E20" sqref="E20"/>
    </sheetView>
  </sheetViews>
  <sheetFormatPr defaultRowHeight="15" x14ac:dyDescent="0.25"/>
  <cols>
    <col min="1" max="1" width="38.85546875" bestFit="1" customWidth="1"/>
    <col min="2" max="2" width="21.140625" style="7" bestFit="1" customWidth="1"/>
    <col min="3" max="3" width="11.7109375" style="19" bestFit="1" customWidth="1"/>
    <col min="4" max="4" width="9.140625" style="21"/>
    <col min="6" max="6" width="3" bestFit="1" customWidth="1"/>
    <col min="7" max="7" width="21.140625" bestFit="1" customWidth="1"/>
    <col min="8" max="9" width="9.140625" style="5"/>
    <col min="10" max="10" width="22.7109375" bestFit="1" customWidth="1"/>
    <col min="11" max="11" width="12.7109375" customWidth="1"/>
  </cols>
  <sheetData>
    <row r="1" spans="1:11" x14ac:dyDescent="0.25">
      <c r="A1" s="38" t="s">
        <v>156</v>
      </c>
      <c r="B1" s="60">
        <f ca="1">DAY(TODAY())</f>
        <v>8</v>
      </c>
      <c r="C1" s="61">
        <f ca="1">IF(CODVENDA!N:N="",0,SUMIFS(CODVENDA!K:K,CODVENDA!N:N,RESUMO!B1,CODVENDA!O:O,RESUMO!B3))</f>
        <v>1266.2</v>
      </c>
      <c r="D1" s="62"/>
      <c r="G1" s="65" t="s">
        <v>158</v>
      </c>
      <c r="H1" s="65"/>
      <c r="J1" s="64" t="s">
        <v>159</v>
      </c>
      <c r="K1" s="64"/>
    </row>
    <row r="2" spans="1:11" x14ac:dyDescent="0.25">
      <c r="A2" s="38" t="s">
        <v>112</v>
      </c>
      <c r="B2" s="60"/>
      <c r="C2" s="61">
        <f ca="1">SUMIF(CODVENDA!O:O,RESUMO!B3,CODVENDA!K:K)</f>
        <v>1266.2</v>
      </c>
      <c r="D2" s="62"/>
      <c r="F2" s="47"/>
      <c r="G2" s="38" t="s">
        <v>62</v>
      </c>
      <c r="H2" s="67">
        <f>SUMIF(FLUXOVENDA!E:E,RESUMO!G2,FLUXOVENDA!J:J)</f>
        <v>1</v>
      </c>
      <c r="I2" s="68">
        <f>H2/$H$44</f>
        <v>1.1494252873563218E-2</v>
      </c>
      <c r="J2" s="38" t="s">
        <v>62</v>
      </c>
      <c r="K2" s="38">
        <f ca="1">SUMIFS(FLUXOVENDA!J:J,FLUXOVENDA!E:E,RESUMO!J2,FLUXOVENDA!O:O,RESUMO!$B$3)</f>
        <v>1</v>
      </c>
    </row>
    <row r="3" spans="1:11" x14ac:dyDescent="0.25">
      <c r="A3" s="38" t="s">
        <v>157</v>
      </c>
      <c r="B3" s="60">
        <f ca="1">MONTH(TODAY())</f>
        <v>7</v>
      </c>
      <c r="C3" s="61">
        <f ca="1">SUMIF(FLUXOVENDA!O:O,RESUMO!B3,FLUXOVENDA!K:K)</f>
        <v>1164</v>
      </c>
      <c r="D3" s="62"/>
      <c r="F3" s="47"/>
      <c r="G3" s="38" t="s">
        <v>133</v>
      </c>
      <c r="H3" s="67">
        <f>SUMIF(FLUXOVENDA!E:E,RESUMO!G3,FLUXOVENDA!J:J)</f>
        <v>6</v>
      </c>
      <c r="I3" s="68">
        <f t="shared" ref="I3:I43" si="0">H3/$H$44</f>
        <v>6.8965517241379309E-2</v>
      </c>
      <c r="J3" s="38" t="s">
        <v>133</v>
      </c>
      <c r="K3" s="38">
        <f ca="1">SUMIFS(FLUXOVENDA!J:J,FLUXOVENDA!E:E,RESUMO!J3,FLUXOVENDA!O:O,RESUMO!$B$3)</f>
        <v>6</v>
      </c>
    </row>
    <row r="4" spans="1:11" x14ac:dyDescent="0.25">
      <c r="A4" s="38" t="s">
        <v>150</v>
      </c>
      <c r="B4" s="60">
        <f ca="1">B1</f>
        <v>8</v>
      </c>
      <c r="C4" s="61">
        <f ca="1">SUMIF(CODVENDA!N:N,RESUMO!B1,CODVENDA!J:J)</f>
        <v>102.2</v>
      </c>
      <c r="D4" s="62"/>
      <c r="F4" s="47"/>
      <c r="G4" s="38" t="s">
        <v>63</v>
      </c>
      <c r="H4" s="67">
        <f>SUMIF(FLUXOVENDA!E:E,RESUMO!G4,FLUXOVENDA!J:J)</f>
        <v>13</v>
      </c>
      <c r="I4" s="68">
        <f t="shared" si="0"/>
        <v>0.14942528735632185</v>
      </c>
      <c r="J4" s="38" t="s">
        <v>63</v>
      </c>
      <c r="K4" s="38">
        <f ca="1">SUMIFS(FLUXOVENDA!J:J,FLUXOVENDA!E:E,RESUMO!J4,FLUXOVENDA!O:O,RESUMO!$B$3)</f>
        <v>13</v>
      </c>
    </row>
    <row r="5" spans="1:11" x14ac:dyDescent="0.25">
      <c r="A5" s="38" t="s">
        <v>151</v>
      </c>
      <c r="B5" s="60"/>
      <c r="C5" s="61">
        <f ca="1">SUMIF(CODVENDA!O:O,RESUMO!B3,CODVENDA!J:J)</f>
        <v>102.2</v>
      </c>
      <c r="D5" s="62"/>
      <c r="F5" s="47"/>
      <c r="G5" s="38" t="s">
        <v>134</v>
      </c>
      <c r="H5" s="67">
        <f>SUMIF(FLUXOVENDA!E:E,RESUMO!G5,FLUXOVENDA!J:J)</f>
        <v>2</v>
      </c>
      <c r="I5" s="68">
        <f t="shared" si="0"/>
        <v>2.2988505747126436E-2</v>
      </c>
      <c r="J5" s="38" t="s">
        <v>134</v>
      </c>
      <c r="K5" s="38">
        <f ca="1">SUMIFS(FLUXOVENDA!J:J,FLUXOVENDA!E:E,RESUMO!J5,FLUXOVENDA!O:O,RESUMO!$B$3)</f>
        <v>2</v>
      </c>
    </row>
    <row r="6" spans="1:11" x14ac:dyDescent="0.25">
      <c r="A6" s="38" t="s">
        <v>115</v>
      </c>
      <c r="B6" s="60" t="s">
        <v>113</v>
      </c>
      <c r="C6" s="61">
        <f ca="1">SUMIFS(CODVENDA!K:K,CODVENDA!L:L,RESUMO!B6,CODVENDA!N:N,RESUMO!B1)</f>
        <v>290</v>
      </c>
      <c r="D6" s="62">
        <f ca="1">IF($C$1=0,0,C6/$C$1)</f>
        <v>0.22903174853893538</v>
      </c>
      <c r="F6" s="47"/>
      <c r="G6" s="38" t="s">
        <v>64</v>
      </c>
      <c r="H6" s="67">
        <f>SUMIF(FLUXOVENDA!E:E,RESUMO!G6,FLUXOVENDA!J:J)</f>
        <v>20</v>
      </c>
      <c r="I6" s="68">
        <f t="shared" si="0"/>
        <v>0.22988505747126436</v>
      </c>
      <c r="J6" s="38" t="s">
        <v>64</v>
      </c>
      <c r="K6" s="38">
        <f ca="1">SUMIFS(FLUXOVENDA!J:J,FLUXOVENDA!E:E,RESUMO!J6,FLUXOVENDA!O:O,RESUMO!$B$3)</f>
        <v>20</v>
      </c>
    </row>
    <row r="7" spans="1:11" x14ac:dyDescent="0.25">
      <c r="A7" s="38" t="s">
        <v>116</v>
      </c>
      <c r="B7" s="60" t="s">
        <v>114</v>
      </c>
      <c r="C7" s="61">
        <f ca="1">SUMIFS(CODVENDA!K:K,CODVENDA!L:L,RESUMO!B7,CODVENDA!N:N,RESUMO!B1)</f>
        <v>562.1</v>
      </c>
      <c r="D7" s="62">
        <f ca="1">IF($C$1=0,0,C7/$C$1)</f>
        <v>0.44392670984046756</v>
      </c>
      <c r="F7" s="47"/>
      <c r="G7" s="38" t="s">
        <v>74</v>
      </c>
      <c r="H7" s="67">
        <f>SUMIF(FLUXOVENDA!E:E,RESUMO!G7,FLUXOVENDA!J:J)</f>
        <v>3</v>
      </c>
      <c r="I7" s="68">
        <f t="shared" si="0"/>
        <v>3.4482758620689655E-2</v>
      </c>
      <c r="J7" s="38" t="s">
        <v>74</v>
      </c>
      <c r="K7" s="38">
        <f ca="1">SUMIFS(FLUXOVENDA!J:J,FLUXOVENDA!E:E,RESUMO!J7,FLUXOVENDA!O:O,RESUMO!$B$3)</f>
        <v>3</v>
      </c>
    </row>
    <row r="8" spans="1:11" x14ac:dyDescent="0.25">
      <c r="A8" s="38" t="s">
        <v>119</v>
      </c>
      <c r="B8" s="60" t="s">
        <v>120</v>
      </c>
      <c r="C8" s="61">
        <f ca="1">SUMIFS(CODVENDA!K:K,CODVENDA!L:L,RESUMO!B8,CODVENDA!N:N,RESUMO!B1)</f>
        <v>414.1</v>
      </c>
      <c r="D8" s="62">
        <f ca="1">IF($C$1=0,0,C8/$C$1)</f>
        <v>0.32704154162059706</v>
      </c>
      <c r="F8" s="47"/>
      <c r="G8" s="38" t="s">
        <v>132</v>
      </c>
      <c r="H8" s="67">
        <f>SUMIF(FLUXOVENDA!E:E,RESUMO!G8,FLUXOVENDA!J:J)</f>
        <v>4</v>
      </c>
      <c r="I8" s="68">
        <f t="shared" si="0"/>
        <v>4.5977011494252873E-2</v>
      </c>
      <c r="J8" s="38" t="s">
        <v>132</v>
      </c>
      <c r="K8" s="38">
        <f ca="1">SUMIFS(FLUXOVENDA!J:J,FLUXOVENDA!E:E,RESUMO!J8,FLUXOVENDA!O:O,RESUMO!$B$3)</f>
        <v>4</v>
      </c>
    </row>
    <row r="9" spans="1:11" x14ac:dyDescent="0.25">
      <c r="A9" s="38" t="s">
        <v>117</v>
      </c>
      <c r="B9" s="60" t="s">
        <v>113</v>
      </c>
      <c r="C9" s="61">
        <f ca="1">SUMIFS(CODVENDA!K:K,CODVENDA!L:L,RESUMO!B6,CODVENDA!O:O,RESUMO!B3)</f>
        <v>290</v>
      </c>
      <c r="D9" s="62">
        <f ca="1">C9/$C$2</f>
        <v>0.22903174853893538</v>
      </c>
      <c r="F9" s="47"/>
      <c r="G9" s="38" t="s">
        <v>135</v>
      </c>
      <c r="H9" s="67">
        <f>SUMIF(FLUXOVENDA!E:E,RESUMO!G9,FLUXOVENDA!J:J)</f>
        <v>0</v>
      </c>
      <c r="I9" s="68">
        <f t="shared" si="0"/>
        <v>0</v>
      </c>
      <c r="J9" s="38" t="s">
        <v>135</v>
      </c>
      <c r="K9" s="38">
        <f ca="1">SUMIFS(FLUXOVENDA!J:J,FLUXOVENDA!E:E,RESUMO!J9,FLUXOVENDA!O:O,RESUMO!$B$3)</f>
        <v>0</v>
      </c>
    </row>
    <row r="10" spans="1:11" x14ac:dyDescent="0.25">
      <c r="A10" s="38" t="s">
        <v>118</v>
      </c>
      <c r="B10" s="60" t="s">
        <v>114</v>
      </c>
      <c r="C10" s="61">
        <f ca="1">SUMIFS(CODVENDA!K:K,CODVENDA!L:L,RESUMO!B7,CODVENDA!O:O,RESUMO!B3)</f>
        <v>562.1</v>
      </c>
      <c r="D10" s="62">
        <f t="shared" ref="D10:D11" ca="1" si="1">C10/$C$2</f>
        <v>0.44392670984046756</v>
      </c>
      <c r="F10" s="47"/>
      <c r="G10" s="38" t="s">
        <v>136</v>
      </c>
      <c r="H10" s="67">
        <f>SUMIF(FLUXOVENDA!E:E,RESUMO!G10,FLUXOVENDA!J:J)</f>
        <v>0</v>
      </c>
      <c r="I10" s="68">
        <f t="shared" si="0"/>
        <v>0</v>
      </c>
      <c r="J10" s="38" t="s">
        <v>136</v>
      </c>
      <c r="K10" s="38">
        <f ca="1">SUMIFS(FLUXOVENDA!J:J,FLUXOVENDA!E:E,RESUMO!J10,FLUXOVENDA!O:O,RESUMO!$B$3)</f>
        <v>0</v>
      </c>
    </row>
    <row r="11" spans="1:11" x14ac:dyDescent="0.25">
      <c r="A11" s="63" t="s">
        <v>161</v>
      </c>
      <c r="B11" s="60" t="s">
        <v>120</v>
      </c>
      <c r="C11" s="61">
        <f ca="1">SUMIFS(CODVENDA!K:K,CODVENDA!L:L,RESUMO!B8,CODVENDA!O:O,RESUMO!B3)</f>
        <v>414.1</v>
      </c>
      <c r="D11" s="62">
        <f t="shared" ca="1" si="1"/>
        <v>0.32704154162059706</v>
      </c>
      <c r="F11" s="47"/>
      <c r="G11" s="38" t="s">
        <v>65</v>
      </c>
      <c r="H11" s="67">
        <f>SUMIF(FLUXOVENDA!E:E,RESUMO!G11,FLUXOVENDA!J:J)</f>
        <v>7</v>
      </c>
      <c r="I11" s="68">
        <f t="shared" si="0"/>
        <v>8.0459770114942528E-2</v>
      </c>
      <c r="J11" s="38" t="s">
        <v>65</v>
      </c>
      <c r="K11" s="38">
        <f ca="1">SUMIFS(FLUXOVENDA!J:J,FLUXOVENDA!E:E,RESUMO!J11,FLUXOVENDA!O:O,RESUMO!$B$3)</f>
        <v>7</v>
      </c>
    </row>
    <row r="12" spans="1:11" x14ac:dyDescent="0.25">
      <c r="A12" s="1"/>
      <c r="F12" s="47"/>
      <c r="G12" s="38" t="s">
        <v>66</v>
      </c>
      <c r="H12" s="67">
        <f>SUMIF(FLUXOVENDA!E:E,RESUMO!G12,FLUXOVENDA!J:J)</f>
        <v>1</v>
      </c>
      <c r="I12" s="68">
        <f t="shared" si="0"/>
        <v>1.1494252873563218E-2</v>
      </c>
      <c r="J12" s="38" t="s">
        <v>66</v>
      </c>
      <c r="K12" s="38">
        <f ca="1">SUMIFS(FLUXOVENDA!J:J,FLUXOVENDA!E:E,RESUMO!J12,FLUXOVENDA!O:O,RESUMO!$B$3)</f>
        <v>1</v>
      </c>
    </row>
    <row r="13" spans="1:11" ht="15.75" thickBot="1" x14ac:dyDescent="0.3">
      <c r="F13" s="47"/>
      <c r="G13" s="38" t="s">
        <v>53</v>
      </c>
      <c r="H13" s="67">
        <f>SUMIF(FLUXOVENDA!E:E,RESUMO!G13,FLUXOVENDA!J:J)</f>
        <v>4</v>
      </c>
      <c r="I13" s="68">
        <f t="shared" si="0"/>
        <v>4.5977011494252873E-2</v>
      </c>
      <c r="J13" s="38" t="s">
        <v>53</v>
      </c>
      <c r="K13" s="38">
        <f ca="1">SUMIFS(FLUXOVENDA!J:J,FLUXOVENDA!E:E,RESUMO!J13,FLUXOVENDA!O:O,RESUMO!$B$3)</f>
        <v>4</v>
      </c>
    </row>
    <row r="14" spans="1:11" x14ac:dyDescent="0.25">
      <c r="A14" s="42" t="s">
        <v>121</v>
      </c>
      <c r="B14" s="57"/>
      <c r="C14" s="44"/>
      <c r="D14" s="45"/>
      <c r="F14" s="47"/>
      <c r="G14" s="38" t="s">
        <v>72</v>
      </c>
      <c r="H14" s="67">
        <f>SUMIF(FLUXOVENDA!E:E,RESUMO!G14,FLUXOVENDA!J:J)</f>
        <v>0</v>
      </c>
      <c r="I14" s="68">
        <f t="shared" si="0"/>
        <v>0</v>
      </c>
      <c r="J14" s="38" t="s">
        <v>72</v>
      </c>
      <c r="K14" s="38">
        <f ca="1">SUMIFS(FLUXOVENDA!J:J,FLUXOVENDA!E:E,RESUMO!J14,FLUXOVENDA!O:O,RESUMO!$B$3)</f>
        <v>0</v>
      </c>
    </row>
    <row r="15" spans="1:11" x14ac:dyDescent="0.25">
      <c r="A15" s="46" t="s">
        <v>122</v>
      </c>
      <c r="B15" s="58" t="str">
        <f>FUNCIONARIO!B2</f>
        <v>PAULINHO VIOLA</v>
      </c>
      <c r="C15" s="48">
        <f ca="1">SUMIFS(FLUXOVENDA!K:K,FLUXOVENDA!H:H,RESUMO!B15,FLUXOVENDA!O:O,RESUMO!$B$3)</f>
        <v>0</v>
      </c>
      <c r="D15" s="49">
        <f ca="1">IF($C$2=0, "-",C15/$C$2)</f>
        <v>0</v>
      </c>
      <c r="F15" s="47"/>
      <c r="G15" s="38" t="s">
        <v>75</v>
      </c>
      <c r="H15" s="67">
        <f>SUMIF(FLUXOVENDA!E:E,RESUMO!G15,FLUXOVENDA!J:J)</f>
        <v>0</v>
      </c>
      <c r="I15" s="68">
        <f t="shared" si="0"/>
        <v>0</v>
      </c>
      <c r="J15" s="38" t="s">
        <v>75</v>
      </c>
      <c r="K15" s="38">
        <f ca="1">SUMIFS(FLUXOVENDA!J:J,FLUXOVENDA!E:E,RESUMO!J15,FLUXOVENDA!O:O,RESUMO!$B$3)</f>
        <v>0</v>
      </c>
    </row>
    <row r="16" spans="1:11" x14ac:dyDescent="0.25">
      <c r="A16" s="46" t="s">
        <v>122</v>
      </c>
      <c r="B16" s="58" t="str">
        <f>FUNCIONARIO!B3</f>
        <v>WELLINGTON SOUZA</v>
      </c>
      <c r="C16" s="48">
        <f ca="1">SUMIFS(FLUXOVENDA!K:K,FLUXOVENDA!H:H,RESUMO!B16,FLUXOVENDA!O:O,RESUMO!$B$3)</f>
        <v>110</v>
      </c>
      <c r="D16" s="49">
        <f ca="1">IF($C$2=0, "-",C16/$C$2)</f>
        <v>8.6874111514768593E-2</v>
      </c>
      <c r="G16" s="38" t="s">
        <v>67</v>
      </c>
      <c r="H16" s="67">
        <f>SUMIF(FLUXOVENDA!E:E,RESUMO!G16,FLUXOVENDA!J:J)</f>
        <v>9</v>
      </c>
      <c r="I16" s="68">
        <f t="shared" si="0"/>
        <v>0.10344827586206896</v>
      </c>
      <c r="J16" s="38" t="s">
        <v>67</v>
      </c>
      <c r="K16" s="38">
        <f ca="1">SUMIFS(FLUXOVENDA!J:J,FLUXOVENDA!E:E,RESUMO!J16,FLUXOVENDA!O:O,RESUMO!$B$3)</f>
        <v>9</v>
      </c>
    </row>
    <row r="17" spans="1:11" x14ac:dyDescent="0.25">
      <c r="A17" s="46" t="s">
        <v>122</v>
      </c>
      <c r="B17" s="58" t="str">
        <f>FUNCIONARIO!B4</f>
        <v>RUSSÃO</v>
      </c>
      <c r="C17" s="48">
        <f ca="1">SUMIFS(FLUXOVENDA!K:K,FLUXOVENDA!H:H,RESUMO!B17,FLUXOVENDA!O:O,RESUMO!$B$3)</f>
        <v>101</v>
      </c>
      <c r="D17" s="49">
        <f ca="1">IF($C$2=0, "-",C17/$C$2)</f>
        <v>7.9766229663560256E-2</v>
      </c>
      <c r="G17" s="38" t="s">
        <v>68</v>
      </c>
      <c r="H17" s="67">
        <f>SUMIF(FLUXOVENDA!E:E,RESUMO!G17,FLUXOVENDA!J:J)</f>
        <v>0</v>
      </c>
      <c r="I17" s="68">
        <f t="shared" si="0"/>
        <v>0</v>
      </c>
      <c r="J17" s="38" t="s">
        <v>68</v>
      </c>
      <c r="K17" s="38">
        <f ca="1">SUMIFS(FLUXOVENDA!J:J,FLUXOVENDA!E:E,RESUMO!J17,FLUXOVENDA!O:O,RESUMO!$B$3)</f>
        <v>0</v>
      </c>
    </row>
    <row r="18" spans="1:11" x14ac:dyDescent="0.25">
      <c r="A18" s="46" t="s">
        <v>122</v>
      </c>
      <c r="B18" s="58" t="str">
        <f>FUNCIONARIO!B5</f>
        <v>WAGNER GOMES</v>
      </c>
      <c r="C18" s="48">
        <f ca="1">SUMIFS(FLUXOVENDA!K:K,FLUXOVENDA!H:H,RESUMO!B18,FLUXOVENDA!O:O,RESUMO!$B$3)</f>
        <v>140</v>
      </c>
      <c r="D18" s="49">
        <f ca="1">IF($C$2=0, "-",C18/$C$2)</f>
        <v>0.11056705101879639</v>
      </c>
      <c r="G18" s="38" t="s">
        <v>69</v>
      </c>
      <c r="H18" s="67">
        <f>SUMIF(FLUXOVENDA!E:E,RESUMO!G18,FLUXOVENDA!J:J)</f>
        <v>0</v>
      </c>
      <c r="I18" s="68">
        <f t="shared" si="0"/>
        <v>0</v>
      </c>
      <c r="J18" s="38" t="s">
        <v>69</v>
      </c>
      <c r="K18" s="38">
        <f ca="1">SUMIFS(FLUXOVENDA!J:J,FLUXOVENDA!E:E,RESUMO!J18,FLUXOVENDA!O:O,RESUMO!$B$3)</f>
        <v>0</v>
      </c>
    </row>
    <row r="19" spans="1:11" ht="15.75" thickBot="1" x14ac:dyDescent="0.3">
      <c r="A19" s="50" t="s">
        <v>122</v>
      </c>
      <c r="B19" s="59" t="str">
        <f>FUNCIONARIO!B6</f>
        <v>DANIELE BARRETO</v>
      </c>
      <c r="C19" s="52">
        <f ca="1">SUMIFS(FLUXOVENDA!K:K,FLUXOVENDA!H:H,RESUMO!B19,FLUXOVENDA!O:O,RESUMO!$B$3)</f>
        <v>232</v>
      </c>
      <c r="D19" s="53">
        <f ca="1">IF($C$2=0, "-",C19/$C$2)</f>
        <v>0.1832253988311483</v>
      </c>
      <c r="G19" s="38" t="s">
        <v>70</v>
      </c>
      <c r="H19" s="67">
        <f>SUMIF(FLUXOVENDA!E:E,RESUMO!G19,FLUXOVENDA!J:J)</f>
        <v>0</v>
      </c>
      <c r="I19" s="68">
        <f t="shared" si="0"/>
        <v>0</v>
      </c>
      <c r="J19" s="38" t="s">
        <v>70</v>
      </c>
      <c r="K19" s="38">
        <f ca="1">SUMIFS(FLUXOVENDA!J:J,FLUXOVENDA!E:E,RESUMO!J19,FLUXOVENDA!O:O,RESUMO!$B$3)</f>
        <v>0</v>
      </c>
    </row>
    <row r="20" spans="1:11" ht="15.75" thickBot="1" x14ac:dyDescent="0.3">
      <c r="B20" s="7" t="s">
        <v>141</v>
      </c>
      <c r="C20" s="52">
        <f ca="1">SUMIFS(FLUXOVENDA!K:K,FLUXOVENDA!H:H,RESUMO!B20,FLUXOVENDA!O:O,RESUMO!$B$3)</f>
        <v>184</v>
      </c>
      <c r="D20" s="53">
        <f ca="1">IF($C$2=0, "-",C20/$C$2)</f>
        <v>0.14531669562470384</v>
      </c>
      <c r="G20" s="38" t="s">
        <v>76</v>
      </c>
      <c r="H20" s="67">
        <f>SUMIF(FLUXOVENDA!E:E,RESUMO!G20,FLUXOVENDA!J:J)</f>
        <v>0</v>
      </c>
      <c r="I20" s="68">
        <f t="shared" si="0"/>
        <v>0</v>
      </c>
      <c r="J20" s="38" t="s">
        <v>76</v>
      </c>
      <c r="K20" s="38">
        <f ca="1">SUMIFS(FLUXOVENDA!J:J,FLUXOVENDA!E:E,RESUMO!J20,FLUXOVENDA!O:O,RESUMO!$B$3)</f>
        <v>0</v>
      </c>
    </row>
    <row r="21" spans="1:11" x14ac:dyDescent="0.25">
      <c r="A21" s="42" t="s">
        <v>111</v>
      </c>
      <c r="B21" s="43" t="s">
        <v>152</v>
      </c>
      <c r="C21" s="44">
        <f ca="1">SUMIFS(FLUXOVENDA!K:K,FLUXOVENDA!Q:Q,RESUMO!$B$1,FLUXOVENDA!H:H,RESUMO!B21,FLUXOVENDA!O:O,RESUMO!$B$3)</f>
        <v>0</v>
      </c>
      <c r="D21" s="45">
        <f ca="1">IF($C$1=0,0,C21/$C$1)</f>
        <v>0</v>
      </c>
      <c r="G21" s="38" t="s">
        <v>77</v>
      </c>
      <c r="H21" s="67">
        <f>SUMIF(FLUXOVENDA!E:E,RESUMO!G21,FLUXOVENDA!J:J)</f>
        <v>0</v>
      </c>
      <c r="I21" s="68">
        <f t="shared" si="0"/>
        <v>0</v>
      </c>
      <c r="J21" s="38" t="s">
        <v>77</v>
      </c>
      <c r="K21" s="38">
        <f ca="1">SUMIFS(FLUXOVENDA!J:J,FLUXOVENDA!E:E,RESUMO!J21,FLUXOVENDA!O:O,RESUMO!$B$3)</f>
        <v>0</v>
      </c>
    </row>
    <row r="22" spans="1:11" x14ac:dyDescent="0.25">
      <c r="A22" s="46" t="s">
        <v>111</v>
      </c>
      <c r="B22" s="47" t="s">
        <v>55</v>
      </c>
      <c r="C22" s="48">
        <f ca="1">SUMIFS(FLUXOVENDA!K:K,FLUXOVENDA!Q:Q,RESUMO!$B$1,FLUXOVENDA!H:H,RESUMO!B22,FLUXOVENDA!O:O,RESUMO!$B$3)</f>
        <v>110</v>
      </c>
      <c r="D22" s="49">
        <f t="shared" ref="D22:D26" ca="1" si="2">IF($C$1=0,0,C22/$C$1)</f>
        <v>8.6874111514768593E-2</v>
      </c>
      <c r="G22" s="38" t="s">
        <v>78</v>
      </c>
      <c r="H22" s="67">
        <f>SUMIF(FLUXOVENDA!E:E,RESUMO!G22,FLUXOVENDA!J:J)</f>
        <v>1</v>
      </c>
      <c r="I22" s="68">
        <f t="shared" si="0"/>
        <v>1.1494252873563218E-2</v>
      </c>
      <c r="J22" s="38" t="s">
        <v>78</v>
      </c>
      <c r="K22" s="38">
        <f ca="1">SUMIFS(FLUXOVENDA!J:J,FLUXOVENDA!E:E,RESUMO!J22,FLUXOVENDA!O:O,RESUMO!$B$3)</f>
        <v>1</v>
      </c>
    </row>
    <row r="23" spans="1:11" x14ac:dyDescent="0.25">
      <c r="A23" s="46" t="s">
        <v>111</v>
      </c>
      <c r="B23" s="47" t="s">
        <v>148</v>
      </c>
      <c r="C23" s="48">
        <f ca="1">SUMIFS(FLUXOVENDA!K:K,FLUXOVENDA!Q:Q,RESUMO!$B$1,FLUXOVENDA!H:H,RESUMO!B23,FLUXOVENDA!O:O,RESUMO!$B$3)</f>
        <v>101</v>
      </c>
      <c r="D23" s="49">
        <f t="shared" ca="1" si="2"/>
        <v>7.9766229663560256E-2</v>
      </c>
      <c r="G23" s="38" t="s">
        <v>71</v>
      </c>
      <c r="H23" s="67">
        <f>SUMIF(FLUXOVENDA!E:E,RESUMO!G23,FLUXOVENDA!J:J)</f>
        <v>1</v>
      </c>
      <c r="I23" s="68">
        <f t="shared" si="0"/>
        <v>1.1494252873563218E-2</v>
      </c>
      <c r="J23" s="38" t="s">
        <v>71</v>
      </c>
      <c r="K23" s="38">
        <f ca="1">SUMIFS(FLUXOVENDA!J:J,FLUXOVENDA!E:E,RESUMO!J23,FLUXOVENDA!O:O,RESUMO!$B$3)</f>
        <v>1</v>
      </c>
    </row>
    <row r="24" spans="1:11" x14ac:dyDescent="0.25">
      <c r="A24" s="46" t="s">
        <v>111</v>
      </c>
      <c r="B24" s="47" t="s">
        <v>58</v>
      </c>
      <c r="C24" s="48">
        <f ca="1">SUMIFS(FLUXOVENDA!K:K,FLUXOVENDA!Q:Q,RESUMO!$B$1,FLUXOVENDA!H:H,RESUMO!B24,FLUXOVENDA!O:O,RESUMO!$B$3)</f>
        <v>140</v>
      </c>
      <c r="D24" s="49">
        <f t="shared" ca="1" si="2"/>
        <v>0.11056705101879639</v>
      </c>
      <c r="G24" s="38" t="s">
        <v>73</v>
      </c>
      <c r="H24" s="67">
        <f>SUMIF(FLUXOVENDA!E:E,RESUMO!G24,FLUXOVENDA!J:J)</f>
        <v>0</v>
      </c>
      <c r="I24" s="68">
        <f t="shared" si="0"/>
        <v>0</v>
      </c>
      <c r="J24" s="38" t="s">
        <v>73</v>
      </c>
      <c r="K24" s="38">
        <f ca="1">SUMIFS(FLUXOVENDA!J:J,FLUXOVENDA!E:E,RESUMO!J24,FLUXOVENDA!O:O,RESUMO!$B$3)</f>
        <v>0</v>
      </c>
    </row>
    <row r="25" spans="1:11" x14ac:dyDescent="0.25">
      <c r="A25" s="46"/>
      <c r="B25" s="47" t="s">
        <v>153</v>
      </c>
      <c r="C25" s="48">
        <f ca="1">SUMIFS(FLUXOVENDA!K:K,FLUXOVENDA!Q:Q,RESUMO!$B$1,FLUXOVENDA!H:H,RESUMO!B25,FLUXOVENDA!O:O,RESUMO!$B$3)</f>
        <v>232</v>
      </c>
      <c r="D25" s="49">
        <f t="shared" ca="1" si="2"/>
        <v>0.1832253988311483</v>
      </c>
      <c r="G25" s="38" t="s">
        <v>79</v>
      </c>
      <c r="H25" s="67">
        <f>SUMIF(FLUXOVENDA!E:E,RESUMO!G25,FLUXOVENDA!J:J)</f>
        <v>0</v>
      </c>
      <c r="I25" s="68">
        <f t="shared" si="0"/>
        <v>0</v>
      </c>
      <c r="J25" s="38" t="s">
        <v>79</v>
      </c>
      <c r="K25" s="38">
        <f ca="1">SUMIFS(FLUXOVENDA!J:J,FLUXOVENDA!E:E,RESUMO!J25,FLUXOVENDA!O:O,RESUMO!$B$3)</f>
        <v>0</v>
      </c>
    </row>
    <row r="26" spans="1:11" ht="15.75" thickBot="1" x14ac:dyDescent="0.3">
      <c r="A26" s="50"/>
      <c r="B26" s="51" t="s">
        <v>154</v>
      </c>
      <c r="C26" s="52">
        <f ca="1">SUMIFS(FLUXOVENDA!K:K,FLUXOVENDA!Q:Q,RESUMO!$B$1,FLUXOVENDA!H:H,RESUMO!B26,FLUXOVENDA!O:O,RESUMO!$B$3)</f>
        <v>397</v>
      </c>
      <c r="D26" s="53">
        <f t="shared" ca="1" si="2"/>
        <v>0.31353656610330122</v>
      </c>
      <c r="G26" s="38" t="s">
        <v>81</v>
      </c>
      <c r="H26" s="67">
        <f>SUMIF(FLUXOVENDA!E:E,RESUMO!G26,FLUXOVENDA!J:J)</f>
        <v>3</v>
      </c>
      <c r="I26" s="68">
        <f t="shared" si="0"/>
        <v>3.4482758620689655E-2</v>
      </c>
      <c r="J26" s="38" t="s">
        <v>81</v>
      </c>
      <c r="K26" s="38">
        <f ca="1">SUMIFS(FLUXOVENDA!J:J,FLUXOVENDA!E:E,RESUMO!J26,FLUXOVENDA!O:O,RESUMO!$B$3)</f>
        <v>3</v>
      </c>
    </row>
    <row r="27" spans="1:11" x14ac:dyDescent="0.25">
      <c r="A27" s="42" t="s">
        <v>99</v>
      </c>
      <c r="B27" s="43" t="s">
        <v>152</v>
      </c>
      <c r="C27" s="44">
        <f ca="1">SUMIFS(FLUXOVENDA!K:K,FLUXOVENDA!O:O,RESUMO!$B$3,FLUXOVENDA!H:H,RESUMO!B27)</f>
        <v>0</v>
      </c>
      <c r="D27" s="45">
        <f ca="1">IF($C$2=0,"-",C27/$C$2)</f>
        <v>0</v>
      </c>
      <c r="G27" s="38" t="s">
        <v>82</v>
      </c>
      <c r="H27" s="67">
        <f>SUMIF(FLUXOVENDA!E:E,RESUMO!G27,FLUXOVENDA!J:J)</f>
        <v>1</v>
      </c>
      <c r="I27" s="68">
        <f t="shared" si="0"/>
        <v>1.1494252873563218E-2</v>
      </c>
      <c r="J27" s="38" t="s">
        <v>82</v>
      </c>
      <c r="K27" s="38">
        <f ca="1">SUMIFS(FLUXOVENDA!J:J,FLUXOVENDA!E:E,RESUMO!J27,FLUXOVENDA!O:O,RESUMO!$B$3)</f>
        <v>1</v>
      </c>
    </row>
    <row r="28" spans="1:11" x14ac:dyDescent="0.25">
      <c r="A28" s="46" t="s">
        <v>99</v>
      </c>
      <c r="B28" s="47" t="s">
        <v>55</v>
      </c>
      <c r="C28" s="48">
        <f ca="1">SUMIFS(FLUXOVENDA!K:K,FLUXOVENDA!O:O,RESUMO!$B$3,FLUXOVENDA!H:H,RESUMO!B28)</f>
        <v>110</v>
      </c>
      <c r="D28" s="49">
        <f ca="1">IF($C$2=0,"-",C28/$C$2)</f>
        <v>8.6874111514768593E-2</v>
      </c>
      <c r="G28" s="38" t="s">
        <v>83</v>
      </c>
      <c r="H28" s="67">
        <f>SUMIF(FLUXOVENDA!E:E,RESUMO!G28,FLUXOVENDA!J:J)</f>
        <v>7</v>
      </c>
      <c r="I28" s="68">
        <f t="shared" si="0"/>
        <v>8.0459770114942528E-2</v>
      </c>
      <c r="J28" s="38" t="s">
        <v>83</v>
      </c>
      <c r="K28" s="38">
        <f ca="1">SUMIFS(FLUXOVENDA!J:J,FLUXOVENDA!E:E,RESUMO!J28,FLUXOVENDA!O:O,RESUMO!$B$3)</f>
        <v>7</v>
      </c>
    </row>
    <row r="29" spans="1:11" x14ac:dyDescent="0.25">
      <c r="A29" s="46" t="s">
        <v>99</v>
      </c>
      <c r="B29" s="47" t="s">
        <v>148</v>
      </c>
      <c r="C29" s="48">
        <f ca="1">SUMIFS(FLUXOVENDA!K:K,FLUXOVENDA!O:O,RESUMO!$B$3,FLUXOVENDA!H:H,RESUMO!B29)</f>
        <v>101</v>
      </c>
      <c r="D29" s="49">
        <f ca="1">IF($C$2=0,"-",C29/$C$2)</f>
        <v>7.9766229663560256E-2</v>
      </c>
      <c r="G29" s="38" t="s">
        <v>84</v>
      </c>
      <c r="H29" s="67">
        <f>SUMIF(FLUXOVENDA!E:E,RESUMO!G29,FLUXOVENDA!J:J)</f>
        <v>0</v>
      </c>
      <c r="I29" s="68">
        <f t="shared" si="0"/>
        <v>0</v>
      </c>
      <c r="J29" s="38" t="s">
        <v>84</v>
      </c>
      <c r="K29" s="38">
        <f ca="1">SUMIFS(FLUXOVENDA!J:J,FLUXOVENDA!E:E,RESUMO!J29,FLUXOVENDA!O:O,RESUMO!$B$3)</f>
        <v>0</v>
      </c>
    </row>
    <row r="30" spans="1:11" x14ac:dyDescent="0.25">
      <c r="A30" s="46" t="s">
        <v>99</v>
      </c>
      <c r="B30" s="47" t="s">
        <v>58</v>
      </c>
      <c r="C30" s="48">
        <f ca="1">SUMIFS(FLUXOVENDA!K:K,FLUXOVENDA!O:O,RESUMO!$B$3,FLUXOVENDA!H:H,RESUMO!B30)</f>
        <v>140</v>
      </c>
      <c r="D30" s="49">
        <f ca="1">IF($C$2=0,"-",C30/$C$2)</f>
        <v>0.11056705101879639</v>
      </c>
      <c r="G30" s="38" t="s">
        <v>85</v>
      </c>
      <c r="H30" s="67">
        <f>SUMIF(FLUXOVENDA!E:E,RESUMO!G30,FLUXOVENDA!J:J)</f>
        <v>0</v>
      </c>
      <c r="I30" s="68">
        <f t="shared" si="0"/>
        <v>0</v>
      </c>
      <c r="J30" s="38" t="s">
        <v>85</v>
      </c>
      <c r="K30" s="38">
        <f ca="1">SUMIFS(FLUXOVENDA!J:J,FLUXOVENDA!E:E,RESUMO!J30,FLUXOVENDA!O:O,RESUMO!$B$3)</f>
        <v>0</v>
      </c>
    </row>
    <row r="31" spans="1:11" x14ac:dyDescent="0.25">
      <c r="A31" s="46" t="s">
        <v>99</v>
      </c>
      <c r="B31" s="47" t="s">
        <v>153</v>
      </c>
      <c r="C31" s="48">
        <f ca="1">SUMIFS(FLUXOVENDA!K:K,FLUXOVENDA!O:O,RESUMO!$B$3,FLUXOVENDA!H:H,RESUMO!B31)</f>
        <v>232</v>
      </c>
      <c r="D31" s="49">
        <f t="shared" ref="D31:D33" ca="1" si="3">IF($C$2=0,"-",C31/$C$2)</f>
        <v>0.1832253988311483</v>
      </c>
      <c r="G31" s="38" t="s">
        <v>86</v>
      </c>
      <c r="H31" s="67">
        <f>SUMIF(FLUXOVENDA!E:E,RESUMO!G31,FLUXOVENDA!J:J)</f>
        <v>0</v>
      </c>
      <c r="I31" s="68">
        <f t="shared" si="0"/>
        <v>0</v>
      </c>
      <c r="J31" s="38" t="s">
        <v>86</v>
      </c>
      <c r="K31" s="38">
        <f ca="1">SUMIFS(FLUXOVENDA!J:J,FLUXOVENDA!E:E,RESUMO!J31,FLUXOVENDA!O:O,RESUMO!$B$3)</f>
        <v>0</v>
      </c>
    </row>
    <row r="32" spans="1:11" x14ac:dyDescent="0.25">
      <c r="A32" s="46"/>
      <c r="B32" s="47" t="s">
        <v>154</v>
      </c>
      <c r="C32" s="48">
        <f ca="1">SUMIFS(FLUXOVENDA!K:K,FLUXOVENDA!O:O,RESUMO!$B$3,FLUXOVENDA!H:H,RESUMO!B32)</f>
        <v>397</v>
      </c>
      <c r="D32" s="49">
        <f t="shared" ca="1" si="3"/>
        <v>0.31353656610330122</v>
      </c>
      <c r="G32" s="38" t="s">
        <v>87</v>
      </c>
      <c r="H32" s="67">
        <f>SUMIF(FLUXOVENDA!E:E,RESUMO!G32,FLUXOVENDA!J:J)</f>
        <v>3</v>
      </c>
      <c r="I32" s="68">
        <f t="shared" si="0"/>
        <v>3.4482758620689655E-2</v>
      </c>
      <c r="J32" s="38" t="s">
        <v>87</v>
      </c>
      <c r="K32" s="38">
        <f ca="1">SUMIFS(FLUXOVENDA!J:J,FLUXOVENDA!E:E,RESUMO!J32,FLUXOVENDA!O:O,RESUMO!$B$3)</f>
        <v>3</v>
      </c>
    </row>
    <row r="33" spans="1:11" ht="15.75" thickBot="1" x14ac:dyDescent="0.3">
      <c r="A33" s="50"/>
      <c r="B33" s="51" t="s">
        <v>104</v>
      </c>
      <c r="C33" s="52">
        <f ca="1">SUMIFS(FLUXOVENDA!K:K,FLUXOVENDA!O:O,RESUMO!$B$3,FLUXOVENDA!H:H,RESUMO!B33)</f>
        <v>0</v>
      </c>
      <c r="D33" s="53">
        <f t="shared" ca="1" si="3"/>
        <v>0</v>
      </c>
      <c r="G33" s="38" t="s">
        <v>88</v>
      </c>
      <c r="H33" s="67">
        <f>SUMIF(FLUXOVENDA!E:E,RESUMO!G33,FLUXOVENDA!J:J)</f>
        <v>0</v>
      </c>
      <c r="I33" s="68">
        <f t="shared" si="0"/>
        <v>0</v>
      </c>
      <c r="J33" s="38" t="s">
        <v>88</v>
      </c>
      <c r="K33" s="38">
        <f ca="1">SUMIFS(FLUXOVENDA!J:J,FLUXOVENDA!E:E,RESUMO!J33,FLUXOVENDA!O:O,RESUMO!$B$3)</f>
        <v>0</v>
      </c>
    </row>
    <row r="34" spans="1:11" x14ac:dyDescent="0.25">
      <c r="A34" s="42" t="s">
        <v>144</v>
      </c>
      <c r="B34" s="54">
        <f>SUMIFS(CODVENDA!D:D,CODVENDA!E:E,CONFIG!G5)</f>
        <v>0</v>
      </c>
      <c r="G34" s="38" t="s">
        <v>89</v>
      </c>
      <c r="H34" s="67">
        <f>SUMIF(FLUXOVENDA!E:E,RESUMO!G34,FLUXOVENDA!J:J)</f>
        <v>0</v>
      </c>
      <c r="I34" s="68">
        <f t="shared" si="0"/>
        <v>0</v>
      </c>
      <c r="J34" s="38" t="s">
        <v>89</v>
      </c>
      <c r="K34" s="38">
        <f ca="1">SUMIFS(FLUXOVENDA!J:J,FLUXOVENDA!E:E,RESUMO!J34,FLUXOVENDA!O:O,RESUMO!$B$3)</f>
        <v>0</v>
      </c>
    </row>
    <row r="35" spans="1:11" x14ac:dyDescent="0.25">
      <c r="A35" s="46" t="s">
        <v>145</v>
      </c>
      <c r="B35" s="55">
        <f>SUMIFS(CODVENDA!D:D,CODVENDA!E:E,CONFIG!G2)</f>
        <v>0</v>
      </c>
      <c r="G35" s="38" t="s">
        <v>90</v>
      </c>
      <c r="H35" s="67">
        <f>SUMIF(FLUXOVENDA!E:E,RESUMO!G35,FLUXOVENDA!J:J)</f>
        <v>0</v>
      </c>
      <c r="I35" s="68">
        <f t="shared" si="0"/>
        <v>0</v>
      </c>
      <c r="J35" s="38" t="s">
        <v>90</v>
      </c>
      <c r="K35" s="38">
        <f ca="1">SUMIFS(FLUXOVENDA!J:J,FLUXOVENDA!E:E,RESUMO!J35,FLUXOVENDA!O:O,RESUMO!$B$3)</f>
        <v>0</v>
      </c>
    </row>
    <row r="36" spans="1:11" ht="15.75" thickBot="1" x14ac:dyDescent="0.3">
      <c r="A36" s="50" t="s">
        <v>146</v>
      </c>
      <c r="B36" s="56">
        <f>SUM(B34:B35)</f>
        <v>0</v>
      </c>
      <c r="G36" s="38" t="s">
        <v>91</v>
      </c>
      <c r="H36" s="67">
        <f>SUMIF(FLUXOVENDA!E:E,RESUMO!G36,FLUXOVENDA!J:J)</f>
        <v>1</v>
      </c>
      <c r="I36" s="68">
        <f t="shared" si="0"/>
        <v>1.1494252873563218E-2</v>
      </c>
      <c r="J36" s="38" t="s">
        <v>91</v>
      </c>
      <c r="K36" s="38">
        <f ca="1">SUMIFS(FLUXOVENDA!J:J,FLUXOVENDA!E:E,RESUMO!J36,FLUXOVENDA!O:O,RESUMO!$B$3)</f>
        <v>1</v>
      </c>
    </row>
    <row r="37" spans="1:11" x14ac:dyDescent="0.25">
      <c r="G37" s="38" t="s">
        <v>92</v>
      </c>
      <c r="H37" s="67">
        <f>SUMIF(FLUXOVENDA!E:E,RESUMO!G37,FLUXOVENDA!J:J)</f>
        <v>0</v>
      </c>
      <c r="I37" s="68">
        <f t="shared" si="0"/>
        <v>0</v>
      </c>
      <c r="J37" s="38" t="s">
        <v>92</v>
      </c>
      <c r="K37" s="38">
        <f ca="1">SUMIFS(FLUXOVENDA!J:J,FLUXOVENDA!E:E,RESUMO!J37,FLUXOVENDA!O:O,RESUMO!$B$3)</f>
        <v>0</v>
      </c>
    </row>
    <row r="38" spans="1:11" x14ac:dyDescent="0.25">
      <c r="G38" s="38" t="s">
        <v>93</v>
      </c>
      <c r="H38" s="67">
        <f>SUMIF(FLUXOVENDA!E:E,RESUMO!G38,FLUXOVENDA!J:J)</f>
        <v>0</v>
      </c>
      <c r="I38" s="68">
        <f t="shared" si="0"/>
        <v>0</v>
      </c>
      <c r="J38" s="38" t="s">
        <v>93</v>
      </c>
      <c r="K38" s="38">
        <f ca="1">SUMIFS(FLUXOVENDA!J:J,FLUXOVENDA!E:E,RESUMO!J38,FLUXOVENDA!O:O,RESUMO!$B$3)</f>
        <v>0</v>
      </c>
    </row>
    <row r="39" spans="1:11" x14ac:dyDescent="0.25">
      <c r="G39" s="38" t="s">
        <v>94</v>
      </c>
      <c r="H39" s="67">
        <f>SUMIF(FLUXOVENDA!E:E,RESUMO!G39,FLUXOVENDA!J:J)</f>
        <v>0</v>
      </c>
      <c r="I39" s="68">
        <f t="shared" si="0"/>
        <v>0</v>
      </c>
      <c r="J39" s="38" t="s">
        <v>94</v>
      </c>
      <c r="K39" s="38">
        <f ca="1">SUMIFS(FLUXOVENDA!J:J,FLUXOVENDA!E:E,RESUMO!J39,FLUXOVENDA!O:O,RESUMO!$B$3)</f>
        <v>0</v>
      </c>
    </row>
    <row r="40" spans="1:11" x14ac:dyDescent="0.25">
      <c r="G40" s="38" t="s">
        <v>137</v>
      </c>
      <c r="H40" s="67">
        <f>SUMIF(FLUXOVENDA!E:E,RESUMO!G40,FLUXOVENDA!J:J)</f>
        <v>0</v>
      </c>
      <c r="I40" s="68">
        <f t="shared" si="0"/>
        <v>0</v>
      </c>
      <c r="J40" s="38" t="s">
        <v>137</v>
      </c>
      <c r="K40" s="38">
        <f ca="1">SUMIFS(FLUXOVENDA!J:J,FLUXOVENDA!E:E,RESUMO!J40,FLUXOVENDA!O:O,RESUMO!$B$3)</f>
        <v>0</v>
      </c>
    </row>
    <row r="41" spans="1:11" x14ac:dyDescent="0.25">
      <c r="G41" s="38" t="s">
        <v>127</v>
      </c>
      <c r="H41" s="67">
        <f>SUMIF(FLUXOVENDA!E:E,RESUMO!G41,FLUXOVENDA!J:J)</f>
        <v>0</v>
      </c>
      <c r="I41" s="68">
        <f t="shared" si="0"/>
        <v>0</v>
      </c>
      <c r="J41" s="38" t="s">
        <v>127</v>
      </c>
      <c r="K41" s="38">
        <f ca="1">SUMIFS(FLUXOVENDA!J:J,FLUXOVENDA!E:E,RESUMO!J41,FLUXOVENDA!O:O,RESUMO!$B$3)</f>
        <v>0</v>
      </c>
    </row>
    <row r="42" spans="1:11" x14ac:dyDescent="0.25">
      <c r="G42" s="38" t="s">
        <v>131</v>
      </c>
      <c r="H42" s="67">
        <f>SUMIF(FLUXOVENDA!E:E,RESUMO!G42,FLUXOVENDA!J:J)</f>
        <v>0</v>
      </c>
      <c r="I42" s="68">
        <f t="shared" si="0"/>
        <v>0</v>
      </c>
      <c r="J42" s="38" t="s">
        <v>131</v>
      </c>
      <c r="K42" s="38">
        <f ca="1">SUMIFS(FLUXOVENDA!J:J,FLUXOVENDA!E:E,RESUMO!J42,FLUXOVENDA!O:O,RESUMO!$B$3)</f>
        <v>0</v>
      </c>
    </row>
    <row r="43" spans="1:11" x14ac:dyDescent="0.25">
      <c r="G43" s="38" t="s">
        <v>130</v>
      </c>
      <c r="H43" s="67">
        <f>SUMIF(FLUXOVENDA!E:E,RESUMO!G43,FLUXOVENDA!J:J)</f>
        <v>0</v>
      </c>
      <c r="I43" s="68">
        <f t="shared" si="0"/>
        <v>0</v>
      </c>
      <c r="J43" s="38" t="s">
        <v>130</v>
      </c>
      <c r="K43" s="38">
        <f ca="1">SUMIFS(FLUXOVENDA!J:J,FLUXOVENDA!E:E,RESUMO!J43,FLUXOVENDA!O:O,RESUMO!$B$3)</f>
        <v>0</v>
      </c>
    </row>
    <row r="44" spans="1:11" x14ac:dyDescent="0.25">
      <c r="G44" s="66" t="s">
        <v>160</v>
      </c>
      <c r="H44" s="67">
        <f>SUM(H2:H43)</f>
        <v>87</v>
      </c>
    </row>
  </sheetData>
  <mergeCells count="2">
    <mergeCell ref="G1:H1"/>
    <mergeCell ref="J1:K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Planilhas</vt:lpstr>
      </vt:variant>
      <vt:variant>
        <vt:i4>8</vt:i4>
      </vt:variant>
      <vt:variant>
        <vt:lpstr>Gráficos</vt:lpstr>
      </vt:variant>
      <vt:variant>
        <vt:i4>2</vt:i4>
      </vt:variant>
      <vt:variant>
        <vt:lpstr>Intervalos Nomeados</vt:lpstr>
      </vt:variant>
      <vt:variant>
        <vt:i4>1</vt:i4>
      </vt:variant>
    </vt:vector>
  </HeadingPairs>
  <TitlesOfParts>
    <vt:vector size="11" baseType="lpstr">
      <vt:lpstr>FUNCIONARIO</vt:lpstr>
      <vt:lpstr>FLUXOFUNCIONARIOS</vt:lpstr>
      <vt:lpstr>MESAS</vt:lpstr>
      <vt:lpstr>PRODUTOS</vt:lpstr>
      <vt:lpstr>CONFIG</vt:lpstr>
      <vt:lpstr>FLUXOVENDA</vt:lpstr>
      <vt:lpstr>CODVENDA</vt:lpstr>
      <vt:lpstr>RESUMO</vt:lpstr>
      <vt:lpstr>FORMAPAGMENSAL</vt:lpstr>
      <vt:lpstr>FUNCIONARIOSMES</vt:lpstr>
      <vt:lpstr>GRUPOPRODUTOS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Wssj</dc:creator>
  <cp:lastModifiedBy>Washington Souza</cp:lastModifiedBy>
  <dcterms:created xsi:type="dcterms:W3CDTF">2016-12-17T16:08:30Z</dcterms:created>
  <dcterms:modified xsi:type="dcterms:W3CDTF">2018-07-08T23:54:41Z</dcterms:modified>
</cp:coreProperties>
</file>