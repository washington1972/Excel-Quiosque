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EstaPastaDeTrabalho" defaultThemeVersion="164011"/>
  <mc:AlternateContent xmlns:mc="http://schemas.openxmlformats.org/markup-compatibility/2006">
    <mc:Choice Requires="x15">
      <x15ac:absPath xmlns:x15ac="http://schemas.microsoft.com/office/spreadsheetml/2010/11/ac" url="D:\Empresa de Gestão\Quiosque 63B Barra da Tijuca\SISTEMA FLUXO DE CAIXA QUIOSQUE\"/>
    </mc:Choice>
  </mc:AlternateContent>
  <bookViews>
    <workbookView xWindow="0" yWindow="0" windowWidth="20490" windowHeight="7530" firstSheet="2" activeTab="2"/>
  </bookViews>
  <sheets>
    <sheet name="FUNCIONARIO" sheetId="1" state="veryHidden" r:id="rId1"/>
    <sheet name="Macro1" sheetId="10" r:id="rId2"/>
    <sheet name="Planilha1" sheetId="9" r:id="rId3"/>
    <sheet name="FLUXOFUNCIONARIOS" sheetId="5" state="veryHidden" r:id="rId4"/>
    <sheet name="MESAS" sheetId="2" state="veryHidden" r:id="rId5"/>
    <sheet name="PRODUTOS" sheetId="3" state="veryHidden" r:id="rId6"/>
    <sheet name="CONFIG" sheetId="6" state="veryHidden" r:id="rId7"/>
    <sheet name="FLUXOVENDA" sheetId="4" state="veryHidden" r:id="rId8"/>
    <sheet name="CODVENDA" sheetId="7" state="veryHidden" r:id="rId9"/>
    <sheet name="RESUMO" sheetId="8" state="veryHidden" r:id="rId10"/>
  </sheets>
  <functionGroups builtInGroupCount="18"/>
  <definedNames>
    <definedName name="_xlnm._FilterDatabase" localSheetId="7" hidden="1">FLUXOVENDA!$A$1:$Q$2</definedName>
    <definedName name="GRUPOPRODUTOS">CONFIG!$B$2:$B$13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3" i="7" l="1"/>
  <c r="D42" i="7"/>
  <c r="D41" i="7" l="1"/>
  <c r="D40" i="7" l="1"/>
  <c r="D39" i="7"/>
  <c r="D38" i="7"/>
  <c r="D37" i="7" l="1"/>
  <c r="D36" i="7" l="1"/>
  <c r="D35" i="7"/>
  <c r="D34" i="7"/>
  <c r="D33" i="7"/>
  <c r="D32" i="7"/>
  <c r="D31" i="7"/>
  <c r="D30" i="7" l="1"/>
  <c r="D29" i="7" l="1"/>
  <c r="D28" i="7"/>
  <c r="D27" i="7" l="1"/>
  <c r="D26" i="7"/>
  <c r="D25" i="7" l="1"/>
  <c r="D24" i="7"/>
  <c r="D23" i="7"/>
  <c r="D22" i="7"/>
  <c r="D21" i="7"/>
  <c r="D19" i="7" l="1"/>
  <c r="D20" i="7"/>
  <c r="D18" i="7" l="1"/>
  <c r="D17" i="7"/>
  <c r="D16" i="7"/>
  <c r="D15" i="7"/>
  <c r="D14" i="7" l="1"/>
  <c r="D13" i="7"/>
  <c r="D12" i="7"/>
  <c r="D11" i="7"/>
  <c r="D10" i="7" l="1"/>
  <c r="D9" i="7"/>
  <c r="D8" i="7"/>
  <c r="D7" i="7" l="1"/>
  <c r="D6" i="7"/>
  <c r="D5" i="7"/>
  <c r="D4" i="7"/>
  <c r="D3" i="7"/>
  <c r="D2" i="7"/>
  <c r="B15" i="8" l="1"/>
  <c r="B21" i="8" s="1"/>
  <c r="B27" i="8" s="1"/>
  <c r="B16" i="8"/>
  <c r="B22" i="8" s="1"/>
  <c r="B28" i="8" s="1"/>
  <c r="B17" i="8"/>
  <c r="B23" i="8" s="1"/>
  <c r="B29" i="8" s="1"/>
  <c r="B18" i="8"/>
  <c r="B24" i="8" s="1"/>
  <c r="B30" i="8" s="1"/>
  <c r="B19" i="8"/>
  <c r="B25" i="8" s="1"/>
  <c r="B31" i="8" s="1"/>
  <c r="B3" i="8" l="1"/>
  <c r="B1" i="8"/>
  <c r="C1" i="8" s="1"/>
  <c r="C27" i="8" l="1"/>
  <c r="C30" i="8"/>
  <c r="C31" i="8"/>
  <c r="C28" i="8"/>
  <c r="C29" i="8"/>
  <c r="C21" i="8"/>
  <c r="D21" i="8" s="1"/>
  <c r="C23" i="8"/>
  <c r="D23" i="8" s="1"/>
  <c r="C24" i="8"/>
  <c r="D24" i="8" s="1"/>
  <c r="C25" i="8"/>
  <c r="D25" i="8" s="1"/>
  <c r="C22" i="8"/>
  <c r="D22" i="8" s="1"/>
  <c r="C15" i="8"/>
  <c r="C16" i="8"/>
  <c r="C18" i="8"/>
  <c r="C17" i="8"/>
  <c r="C19" i="8"/>
  <c r="C10" i="8"/>
  <c r="C11" i="8"/>
  <c r="C3" i="8"/>
  <c r="C9" i="8"/>
  <c r="C7" i="8"/>
  <c r="D7" i="8" s="1"/>
  <c r="C8" i="8"/>
  <c r="D8" i="8" s="1"/>
  <c r="C6" i="8"/>
  <c r="D6" i="8" s="1"/>
  <c r="C2" i="8"/>
  <c r="C5" i="8"/>
  <c r="C4" i="8"/>
  <c r="B4" i="8"/>
  <c r="D27" i="8" l="1"/>
  <c r="D30" i="8"/>
  <c r="D31" i="8"/>
  <c r="D28" i="8"/>
  <c r="D29" i="8"/>
  <c r="D15" i="8"/>
  <c r="D17" i="8"/>
  <c r="D19" i="8"/>
  <c r="D16" i="8"/>
  <c r="D18" i="8"/>
</calcChain>
</file>

<file path=xl/sharedStrings.xml><?xml version="1.0" encoding="utf-8"?>
<sst xmlns="http://schemas.openxmlformats.org/spreadsheetml/2006/main" count="1027" uniqueCount="155">
  <si>
    <t>COD</t>
  </si>
  <si>
    <t>NOME</t>
  </si>
  <si>
    <t>TELEFONE</t>
  </si>
  <si>
    <t>ENDEREÇO</t>
  </si>
  <si>
    <t>BAIRRO</t>
  </si>
  <si>
    <t>CIDADE</t>
  </si>
  <si>
    <t>CEP</t>
  </si>
  <si>
    <t>CODFUNCIONARIO</t>
  </si>
  <si>
    <t>NOME FUNCIONARIO</t>
  </si>
  <si>
    <t/>
  </si>
  <si>
    <t>DATA TRABALHO</t>
  </si>
  <si>
    <t>21 33590282</t>
  </si>
  <si>
    <t>R.DO TADEU, 33</t>
  </si>
  <si>
    <t>RJ</t>
  </si>
  <si>
    <t>PIEDADE</t>
  </si>
  <si>
    <t>R. SEM FIM, S/N</t>
  </si>
  <si>
    <t>CAMPO GRANDE</t>
  </si>
  <si>
    <t>MESA</t>
  </si>
  <si>
    <t>CODPRODUTO</t>
  </si>
  <si>
    <t>PRODUTO</t>
  </si>
  <si>
    <t>CODVENDA</t>
  </si>
  <si>
    <t>VENDEDOR</t>
  </si>
  <si>
    <t>DATAVENDA</t>
  </si>
  <si>
    <t>VALOR UNIT</t>
  </si>
  <si>
    <t>QUANTIDADE</t>
  </si>
  <si>
    <t>STATUS</t>
  </si>
  <si>
    <t>GRUPO</t>
  </si>
  <si>
    <t>CODGRUPO</t>
  </si>
  <si>
    <t>SANDUICHES</t>
  </si>
  <si>
    <t>BISCOITOS</t>
  </si>
  <si>
    <t>BEBIDAS ENERGÉTICAS</t>
  </si>
  <si>
    <t>BEBIDAS NATURAIS</t>
  </si>
  <si>
    <t>PEIXE FRITO</t>
  </si>
  <si>
    <t>PORÇÕES</t>
  </si>
  <si>
    <t>1 MESA</t>
  </si>
  <si>
    <t>2 MESA</t>
  </si>
  <si>
    <t>3 MESA</t>
  </si>
  <si>
    <t>4 MESA</t>
  </si>
  <si>
    <t>5 MESA</t>
  </si>
  <si>
    <t>6 MESA</t>
  </si>
  <si>
    <t>7 MESA</t>
  </si>
  <si>
    <t>8 MESA</t>
  </si>
  <si>
    <t>9 MESA</t>
  </si>
  <si>
    <t>10 MESA</t>
  </si>
  <si>
    <t>11 MESA</t>
  </si>
  <si>
    <t>12 MESA</t>
  </si>
  <si>
    <t>13 MESA</t>
  </si>
  <si>
    <t>14 MESA</t>
  </si>
  <si>
    <t>15 MESA</t>
  </si>
  <si>
    <t>16 MESA</t>
  </si>
  <si>
    <t>17 MESA</t>
  </si>
  <si>
    <t>18 MESA</t>
  </si>
  <si>
    <t>PRECO  VENDA</t>
  </si>
  <si>
    <t>AGUA DE COCO</t>
  </si>
  <si>
    <t>VALOR TOTAL</t>
  </si>
  <si>
    <t>WELLINGTON SOUZA</t>
  </si>
  <si>
    <t>PRATOS COMBINADOS</t>
  </si>
  <si>
    <t>DESCRIÇÃO</t>
  </si>
  <si>
    <t>DENIS BARRETO</t>
  </si>
  <si>
    <t>DAIANE BARRETO</t>
  </si>
  <si>
    <t>WAGNER GOMES</t>
  </si>
  <si>
    <t>CERVEJAS</t>
  </si>
  <si>
    <t>REFRIGERANTES</t>
  </si>
  <si>
    <t>BEBIDAS DESTILADAS</t>
  </si>
  <si>
    <t>SKOL</t>
  </si>
  <si>
    <t>BRHAMA</t>
  </si>
  <si>
    <t>ANTÁRTICA</t>
  </si>
  <si>
    <t>AGUA MINERAL S/GAS</t>
  </si>
  <si>
    <t>AGUA MINERAL C/GAS</t>
  </si>
  <si>
    <t>COCA COLA</t>
  </si>
  <si>
    <t>FANTA LARANJA</t>
  </si>
  <si>
    <t>FANTA UVA</t>
  </si>
  <si>
    <t>GUARANÁ ANTÁRTICA</t>
  </si>
  <si>
    <t>CAIPIRINHA</t>
  </si>
  <si>
    <t>AGUA TÔNICA</t>
  </si>
  <si>
    <t>CAIPVODKA</t>
  </si>
  <si>
    <t>CERVEJA LATÃO</t>
  </si>
  <si>
    <t>SUCO LATA</t>
  </si>
  <si>
    <t>GUARAVITA</t>
  </si>
  <si>
    <t>GUARAVITON</t>
  </si>
  <si>
    <t>MATE</t>
  </si>
  <si>
    <t>SMINORFF ICE</t>
  </si>
  <si>
    <t>SUCOS</t>
  </si>
  <si>
    <t>X-TUDO</t>
  </si>
  <si>
    <t>X-DOUBLE</t>
  </si>
  <si>
    <t>ANXOVA FAMÍLIA</t>
  </si>
  <si>
    <t>CORVINA FAMILIA</t>
  </si>
  <si>
    <t>CAMARÃO GRELHADO</t>
  </si>
  <si>
    <t>SARDINHA FRITA</t>
  </si>
  <si>
    <t>GURJÃO</t>
  </si>
  <si>
    <t>MANJUBINHA</t>
  </si>
  <si>
    <t>CALABRESA/FRITAS</t>
  </si>
  <si>
    <t>AIPIM</t>
  </si>
  <si>
    <t>BATATA FRITA</t>
  </si>
  <si>
    <t>FRANGO À PASSARINHO</t>
  </si>
  <si>
    <t>SALAMINHO</t>
  </si>
  <si>
    <t>BOLINHO DE BACALHAU</t>
  </si>
  <si>
    <t>FECHADA</t>
  </si>
  <si>
    <t>DISPONÍVEL</t>
  </si>
  <si>
    <t>CODVENDEDOR</t>
  </si>
  <si>
    <t>CODMESA</t>
  </si>
  <si>
    <t>MÊS</t>
  </si>
  <si>
    <t>ANO</t>
  </si>
  <si>
    <t>EM USO</t>
  </si>
  <si>
    <t>GARÇOM</t>
  </si>
  <si>
    <t>HORA</t>
  </si>
  <si>
    <t>CLIENTE</t>
  </si>
  <si>
    <t>HORA ÚLTIMO ATENDIMENTO</t>
  </si>
  <si>
    <t>FORMA PAGAMENTO</t>
  </si>
  <si>
    <t>PORCENTAGEM</t>
  </si>
  <si>
    <t>PAGA PORCENTAGEM</t>
  </si>
  <si>
    <t>VLR TOT PAGO</t>
  </si>
  <si>
    <t>DATA</t>
  </si>
  <si>
    <t>FATURAMENTO MÊS</t>
  </si>
  <si>
    <t>FATURAMENTO DIA (COM PERCENTAGEM)</t>
  </si>
  <si>
    <t>PERCENTUAL DIA</t>
  </si>
  <si>
    <t>PERCENTUAL MÊS</t>
  </si>
  <si>
    <t>DIA</t>
  </si>
  <si>
    <t>FATURAMENTO MÊS (COM PERCENTAGEM)</t>
  </si>
  <si>
    <t>DINHEIRO</t>
  </si>
  <si>
    <t>CARTÃO DE CRÉDITO</t>
  </si>
  <si>
    <t>PGT DINHEIRO DIA</t>
  </si>
  <si>
    <t>PGT CARTÃO DIA</t>
  </si>
  <si>
    <t>PGT DINHEIRO MÊS</t>
  </si>
  <si>
    <t>PGTO CARTÃO MÊS</t>
  </si>
  <si>
    <t>PGT DÉBITO DIA</t>
  </si>
  <si>
    <t>REDESHOP</t>
  </si>
  <si>
    <t>PRODUTIVIDADE DE FUNCIONÁRIOS</t>
  </si>
  <si>
    <t>MÊS ATUAL</t>
  </si>
  <si>
    <t>FINALIZADO</t>
  </si>
  <si>
    <t>NÃO</t>
  </si>
  <si>
    <t>SIM</t>
  </si>
  <si>
    <t>VLR SEM%</t>
  </si>
  <si>
    <t xml:space="preserve"> 1 MESA </t>
  </si>
  <si>
    <t>ABERTO</t>
  </si>
  <si>
    <t>CAIXA</t>
  </si>
  <si>
    <t>BALCAO</t>
  </si>
  <si>
    <t>NOMECLIENTE</t>
  </si>
  <si>
    <t>XARA</t>
  </si>
  <si>
    <t>BIGODE SARADÃO</t>
  </si>
  <si>
    <t>RICARDÃO</t>
  </si>
  <si>
    <t>CAMISA VERMELHA</t>
  </si>
  <si>
    <t>BIGODE SARADO</t>
  </si>
  <si>
    <t xml:space="preserve"> 2 MESA </t>
  </si>
  <si>
    <t>Cliente</t>
  </si>
  <si>
    <t>PAULÃO</t>
  </si>
  <si>
    <t xml:space="preserve"> 6 MESA </t>
  </si>
  <si>
    <t xml:space="preserve"> 3 MESA </t>
  </si>
  <si>
    <t>VANIA</t>
  </si>
  <si>
    <t>VALOR À PAGAR</t>
  </si>
  <si>
    <t xml:space="preserve"> 4 MESA </t>
  </si>
  <si>
    <t>BONITAO</t>
  </si>
  <si>
    <t xml:space="preserve">2 </t>
  </si>
  <si>
    <t xml:space="preserve">3 </t>
  </si>
  <si>
    <t>MARCELO BONÉ AZUL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</si>
</sst>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R$&quot;* #,##0.00_);_(&quot;R$&quot;* \(#,##0.00\);_(&quot;R$&quot;* &quot;-&quot;??_);_(@_)"/>
    <numFmt numFmtId="165" formatCode="0_ ;\-0\ "/>
    <numFmt numFmtId="166" formatCode="h:mm;@"/>
    <numFmt numFmtId="167" formatCode="#,##0.00_ ;\-#,##0.00\ "/>
    <numFmt numFmtId="168" formatCode="dd/mm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/>
    <xf numFmtId="1" fontId="0" fillId="0" borderId="0" xfId="0" applyNumberFormat="1"/>
    <xf numFmtId="4" fontId="0" fillId="0" borderId="0" xfId="0" applyNumberFormat="1"/>
    <xf numFmtId="14" fontId="0" fillId="0" borderId="0" xfId="0" applyNumberFormat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0" fillId="3" borderId="0" xfId="0" applyFill="1"/>
    <xf numFmtId="166" fontId="0" fillId="0" borderId="0" xfId="0" applyNumberFormat="1"/>
    <xf numFmtId="168" fontId="0" fillId="0" borderId="0" xfId="0" applyNumberFormat="1"/>
    <xf numFmtId="164" fontId="0" fillId="0" borderId="0" xfId="1" applyFont="1"/>
    <xf numFmtId="4" fontId="0" fillId="0" borderId="0" xfId="1" applyNumberFormat="1" applyFont="1"/>
    <xf numFmtId="9" fontId="0" fillId="0" borderId="0" xfId="2" applyFont="1"/>
    <xf numFmtId="167" fontId="3" fillId="4" borderId="0" xfId="1" applyNumberFormat="1" applyFont="1" applyFill="1" applyAlignment="1">
      <alignment horizontal="center" vertical="center"/>
    </xf>
    <xf numFmtId="1" fontId="3" fillId="4" borderId="0" xfId="0" applyNumberFormat="1" applyFont="1" applyFill="1" applyAlignment="1">
      <alignment horizontal="center" vertical="center"/>
    </xf>
    <xf numFmtId="165" fontId="3" fillId="4" borderId="0" xfId="1" applyNumberFormat="1" applyFont="1" applyFill="1" applyAlignment="1">
      <alignment horizontal="center" vertical="center"/>
    </xf>
    <xf numFmtId="164" fontId="3" fillId="4" borderId="0" xfId="1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166" fontId="3" fillId="4" borderId="0" xfId="0" applyNumberFormat="1" applyFont="1" applyFill="1" applyAlignment="1">
      <alignment horizontal="center" vertical="center"/>
    </xf>
    <xf numFmtId="166" fontId="3" fillId="4" borderId="0" xfId="0" applyNumberFormat="1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4" fontId="3" fillId="4" borderId="0" xfId="0" applyNumberFormat="1" applyFont="1" applyFill="1" applyAlignment="1">
      <alignment vertical="center"/>
    </xf>
    <xf numFmtId="168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4" fontId="3" fillId="4" borderId="0" xfId="1" applyNumberFormat="1" applyFont="1" applyFill="1" applyAlignment="1">
      <alignment vertical="center"/>
    </xf>
    <xf numFmtId="0" fontId="0" fillId="0" borderId="0" xfId="0" applyAlignment="1">
      <alignment vertical="center"/>
    </xf>
    <xf numFmtId="19" fontId="0" fillId="0" borderId="0" xfId="0" applyNumberFormat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B61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xm:macroshee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7"/>
  <sheetViews>
    <sheetView workbookViewId="0">
      <selection activeCell="B10" sqref="B10"/>
    </sheetView>
  </sheetViews>
  <sheetFormatPr defaultRowHeight="15" x14ac:dyDescent="0.25"/>
  <cols>
    <col min="1" max="1" width="4.85546875" style="11" bestFit="1" customWidth="1"/>
    <col min="2" max="2" width="22.42578125" bestFit="1" customWidth="1"/>
    <col min="3" max="3" width="12.7109375" customWidth="1"/>
    <col min="4" max="4" width="14.85546875" bestFit="1" customWidth="1"/>
    <col min="5" max="5" width="23.28515625" customWidth="1"/>
    <col min="6" max="6" width="7.5703125" style="5" bestFit="1" customWidth="1"/>
    <col min="7" max="7" width="11.5703125" style="5" customWidth="1"/>
  </cols>
  <sheetData>
    <row r="1" spans="1:7" x14ac:dyDescent="0.25">
      <c r="A1" s="10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</row>
    <row r="2" spans="1:7" x14ac:dyDescent="0.25">
      <c r="A2" s="11">
        <v>1</v>
      </c>
      <c r="B2" t="s">
        <v>58</v>
      </c>
      <c r="C2" t="s">
        <v>11</v>
      </c>
      <c r="D2" t="s">
        <v>12</v>
      </c>
      <c r="E2" t="s">
        <v>14</v>
      </c>
      <c r="F2" s="5" t="s">
        <v>13</v>
      </c>
      <c r="G2" s="5">
        <v>21555410</v>
      </c>
    </row>
    <row r="3" spans="1:7" x14ac:dyDescent="0.25">
      <c r="A3" s="11">
        <v>2</v>
      </c>
      <c r="B3" t="s">
        <v>55</v>
      </c>
      <c r="C3">
        <v>21995021</v>
      </c>
      <c r="D3" t="s">
        <v>15</v>
      </c>
      <c r="E3" t="s">
        <v>16</v>
      </c>
      <c r="F3" s="5" t="s">
        <v>13</v>
      </c>
      <c r="G3" s="5">
        <v>5214010</v>
      </c>
    </row>
    <row r="4" spans="1:7" x14ac:dyDescent="0.25">
      <c r="A4" s="11">
        <v>3</v>
      </c>
      <c r="B4" t="s">
        <v>59</v>
      </c>
    </row>
    <row r="5" spans="1:7" x14ac:dyDescent="0.25">
      <c r="A5" s="11">
        <v>4</v>
      </c>
      <c r="B5" t="s">
        <v>60</v>
      </c>
    </row>
    <row r="6" spans="1:7" x14ac:dyDescent="0.25">
      <c r="A6" s="11">
        <v>5</v>
      </c>
      <c r="B6" t="s">
        <v>106</v>
      </c>
    </row>
    <row r="7" spans="1:7" x14ac:dyDescent="0.25">
      <c r="A7" s="11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tabSelected="1" workbookViewId="0">
      <selection activeCell="K15" sqref="K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5"/>
  <sheetViews>
    <sheetView workbookViewId="0">
      <selection activeCell="C15" sqref="C15"/>
    </sheetView>
  </sheetViews>
  <sheetFormatPr defaultRowHeight="15" x14ac:dyDescent="0.25"/>
  <cols>
    <col min="1" max="1" width="17.85546875" bestFit="1" customWidth="1"/>
    <col min="2" max="2" width="20" bestFit="1" customWidth="1"/>
    <col min="3" max="3" width="15.85546875" customWidth="1"/>
  </cols>
  <sheetData>
    <row r="1" spans="1:4" x14ac:dyDescent="0.25">
      <c r="A1" s="6" t="s">
        <v>7</v>
      </c>
      <c r="B1" s="6" t="s">
        <v>8</v>
      </c>
      <c r="C1" s="6" t="s">
        <v>10</v>
      </c>
    </row>
    <row r="15" spans="1:4" x14ac:dyDescent="0.25">
      <c r="D15" s="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19"/>
  <sheetViews>
    <sheetView workbookViewId="0">
      <selection activeCell="E11" sqref="E11"/>
    </sheetView>
  </sheetViews>
  <sheetFormatPr defaultRowHeight="15" x14ac:dyDescent="0.25"/>
  <cols>
    <col min="1" max="1" width="9.140625" style="2"/>
    <col min="3" max="3" width="11.5703125" bestFit="1" customWidth="1"/>
  </cols>
  <sheetData>
    <row r="1" spans="1:6" x14ac:dyDescent="0.25">
      <c r="A1" s="24" t="s">
        <v>0</v>
      </c>
      <c r="B1" s="25" t="s">
        <v>17</v>
      </c>
      <c r="C1" s="26" t="s">
        <v>25</v>
      </c>
    </row>
    <row r="2" spans="1:6" x14ac:dyDescent="0.25">
      <c r="A2" s="2">
        <v>1</v>
      </c>
      <c r="B2" t="s">
        <v>34</v>
      </c>
      <c r="C2" t="s">
        <v>98</v>
      </c>
      <c r="F2" s="2"/>
    </row>
    <row r="3" spans="1:6" x14ac:dyDescent="0.25">
      <c r="A3" s="2">
        <v>2</v>
      </c>
      <c r="B3" t="s">
        <v>35</v>
      </c>
      <c r="C3" t="s">
        <v>98</v>
      </c>
    </row>
    <row r="4" spans="1:6" x14ac:dyDescent="0.25">
      <c r="A4" s="2">
        <v>3</v>
      </c>
      <c r="B4" t="s">
        <v>36</v>
      </c>
      <c r="C4" t="s">
        <v>98</v>
      </c>
    </row>
    <row r="5" spans="1:6" x14ac:dyDescent="0.25">
      <c r="A5" s="2">
        <v>4</v>
      </c>
      <c r="B5" t="s">
        <v>37</v>
      </c>
      <c r="C5" t="s">
        <v>98</v>
      </c>
    </row>
    <row r="6" spans="1:6" x14ac:dyDescent="0.25">
      <c r="A6" s="2">
        <v>5</v>
      </c>
      <c r="B6" t="s">
        <v>38</v>
      </c>
      <c r="C6" t="s">
        <v>98</v>
      </c>
    </row>
    <row r="7" spans="1:6" x14ac:dyDescent="0.25">
      <c r="A7" s="2">
        <v>6</v>
      </c>
      <c r="B7" t="s">
        <v>39</v>
      </c>
      <c r="C7" t="s">
        <v>98</v>
      </c>
    </row>
    <row r="8" spans="1:6" x14ac:dyDescent="0.25">
      <c r="A8" s="2">
        <v>7</v>
      </c>
      <c r="B8" t="s">
        <v>40</v>
      </c>
      <c r="C8" t="s">
        <v>98</v>
      </c>
    </row>
    <row r="9" spans="1:6" x14ac:dyDescent="0.25">
      <c r="A9" s="2">
        <v>8</v>
      </c>
      <c r="B9" t="s">
        <v>41</v>
      </c>
      <c r="C9" t="s">
        <v>98</v>
      </c>
    </row>
    <row r="10" spans="1:6" x14ac:dyDescent="0.25">
      <c r="A10" s="2">
        <v>9</v>
      </c>
      <c r="B10" t="s">
        <v>42</v>
      </c>
      <c r="C10" t="s">
        <v>98</v>
      </c>
    </row>
    <row r="11" spans="1:6" x14ac:dyDescent="0.25">
      <c r="A11" s="2">
        <v>10</v>
      </c>
      <c r="B11" t="s">
        <v>43</v>
      </c>
      <c r="C11" t="s">
        <v>98</v>
      </c>
    </row>
    <row r="12" spans="1:6" x14ac:dyDescent="0.25">
      <c r="A12" s="2">
        <v>11</v>
      </c>
      <c r="B12" t="s">
        <v>44</v>
      </c>
      <c r="C12" t="s">
        <v>98</v>
      </c>
    </row>
    <row r="13" spans="1:6" x14ac:dyDescent="0.25">
      <c r="A13" s="2">
        <v>12</v>
      </c>
      <c r="B13" t="s">
        <v>45</v>
      </c>
      <c r="C13" t="s">
        <v>98</v>
      </c>
    </row>
    <row r="14" spans="1:6" x14ac:dyDescent="0.25">
      <c r="A14" s="2">
        <v>13</v>
      </c>
      <c r="B14" t="s">
        <v>46</v>
      </c>
      <c r="C14" t="s">
        <v>98</v>
      </c>
    </row>
    <row r="15" spans="1:6" x14ac:dyDescent="0.25">
      <c r="A15" s="2">
        <v>14</v>
      </c>
      <c r="B15" t="s">
        <v>47</v>
      </c>
      <c r="C15" t="s">
        <v>98</v>
      </c>
    </row>
    <row r="16" spans="1:6" x14ac:dyDescent="0.25">
      <c r="A16" s="2">
        <v>15</v>
      </c>
      <c r="B16" t="s">
        <v>48</v>
      </c>
      <c r="C16" t="s">
        <v>98</v>
      </c>
    </row>
    <row r="17" spans="1:3" x14ac:dyDescent="0.25">
      <c r="A17" s="2">
        <v>16</v>
      </c>
      <c r="B17" t="s">
        <v>49</v>
      </c>
      <c r="C17" t="s">
        <v>98</v>
      </c>
    </row>
    <row r="18" spans="1:3" x14ac:dyDescent="0.25">
      <c r="A18" s="2">
        <v>17</v>
      </c>
      <c r="B18" t="s">
        <v>50</v>
      </c>
      <c r="C18" t="s">
        <v>98</v>
      </c>
    </row>
    <row r="19" spans="1:3" x14ac:dyDescent="0.25">
      <c r="A19" s="2">
        <v>18</v>
      </c>
      <c r="B19" t="s">
        <v>51</v>
      </c>
      <c r="C19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34"/>
  <sheetViews>
    <sheetView topLeftCell="A7" workbookViewId="0">
      <selection activeCell="C5" sqref="C5"/>
    </sheetView>
  </sheetViews>
  <sheetFormatPr defaultRowHeight="15" x14ac:dyDescent="0.25"/>
  <cols>
    <col min="1" max="1" width="13.7109375" bestFit="1" customWidth="1"/>
    <col min="2" max="2" width="23" customWidth="1"/>
    <col min="3" max="3" width="23.140625" bestFit="1" customWidth="1"/>
    <col min="4" max="4" width="14.140625" style="8" bestFit="1" customWidth="1"/>
    <col min="5" max="5" width="46.28515625" customWidth="1"/>
  </cols>
  <sheetData>
    <row r="1" spans="1:5" x14ac:dyDescent="0.25">
      <c r="A1" s="24" t="s">
        <v>18</v>
      </c>
      <c r="B1" s="25" t="s">
        <v>19</v>
      </c>
      <c r="C1" s="26" t="s">
        <v>26</v>
      </c>
      <c r="D1" s="24" t="s">
        <v>52</v>
      </c>
      <c r="E1" s="25" t="s">
        <v>57</v>
      </c>
    </row>
    <row r="2" spans="1:5" x14ac:dyDescent="0.25">
      <c r="A2">
        <v>1</v>
      </c>
      <c r="B2" t="s">
        <v>64</v>
      </c>
      <c r="C2" t="s">
        <v>61</v>
      </c>
      <c r="D2" s="8">
        <v>3.5</v>
      </c>
    </row>
    <row r="3" spans="1:5" x14ac:dyDescent="0.25">
      <c r="A3">
        <v>2</v>
      </c>
      <c r="B3" t="s">
        <v>65</v>
      </c>
      <c r="C3" t="s">
        <v>61</v>
      </c>
      <c r="D3" s="8">
        <v>3.5</v>
      </c>
    </row>
    <row r="4" spans="1:5" x14ac:dyDescent="0.25">
      <c r="A4">
        <v>3</v>
      </c>
      <c r="B4" t="s">
        <v>66</v>
      </c>
      <c r="C4" t="s">
        <v>61</v>
      </c>
      <c r="D4" s="8">
        <v>3.5</v>
      </c>
    </row>
    <row r="5" spans="1:5" x14ac:dyDescent="0.25">
      <c r="A5">
        <v>4</v>
      </c>
      <c r="B5" t="s">
        <v>76</v>
      </c>
      <c r="C5" t="s">
        <v>61</v>
      </c>
      <c r="D5" s="8">
        <v>7</v>
      </c>
    </row>
    <row r="6" spans="1:5" x14ac:dyDescent="0.25">
      <c r="A6">
        <v>5</v>
      </c>
      <c r="B6" t="s">
        <v>67</v>
      </c>
      <c r="C6" t="s">
        <v>31</v>
      </c>
      <c r="D6" s="8">
        <v>4</v>
      </c>
    </row>
    <row r="7" spans="1:5" x14ac:dyDescent="0.25">
      <c r="A7">
        <v>6</v>
      </c>
      <c r="B7" t="s">
        <v>68</v>
      </c>
      <c r="C7" t="s">
        <v>31</v>
      </c>
      <c r="D7" s="8">
        <v>5</v>
      </c>
    </row>
    <row r="8" spans="1:5" x14ac:dyDescent="0.25">
      <c r="A8">
        <v>7</v>
      </c>
      <c r="B8" t="s">
        <v>53</v>
      </c>
      <c r="C8" t="s">
        <v>31</v>
      </c>
      <c r="D8" s="8">
        <v>6</v>
      </c>
    </row>
    <row r="9" spans="1:5" x14ac:dyDescent="0.25">
      <c r="A9">
        <v>8</v>
      </c>
      <c r="B9" t="s">
        <v>74</v>
      </c>
      <c r="C9" t="s">
        <v>62</v>
      </c>
      <c r="D9" s="8">
        <v>5</v>
      </c>
    </row>
    <row r="10" spans="1:5" x14ac:dyDescent="0.25">
      <c r="A10">
        <v>9</v>
      </c>
      <c r="B10" t="s">
        <v>77</v>
      </c>
      <c r="C10" t="s">
        <v>82</v>
      </c>
      <c r="D10" s="8">
        <v>6</v>
      </c>
    </row>
    <row r="11" spans="1:5" x14ac:dyDescent="0.25">
      <c r="A11">
        <v>10</v>
      </c>
      <c r="B11" t="s">
        <v>69</v>
      </c>
      <c r="C11" t="s">
        <v>62</v>
      </c>
      <c r="D11" s="8">
        <v>5</v>
      </c>
    </row>
    <row r="12" spans="1:5" x14ac:dyDescent="0.25">
      <c r="A12">
        <v>11</v>
      </c>
      <c r="B12" t="s">
        <v>70</v>
      </c>
      <c r="C12" t="s">
        <v>62</v>
      </c>
      <c r="D12" s="8">
        <v>5</v>
      </c>
    </row>
    <row r="13" spans="1:5" x14ac:dyDescent="0.25">
      <c r="A13">
        <v>12</v>
      </c>
      <c r="B13" t="s">
        <v>71</v>
      </c>
      <c r="C13" t="s">
        <v>62</v>
      </c>
      <c r="D13" s="8">
        <v>5</v>
      </c>
    </row>
    <row r="14" spans="1:5" x14ac:dyDescent="0.25">
      <c r="A14">
        <v>13</v>
      </c>
      <c r="B14" t="s">
        <v>72</v>
      </c>
      <c r="C14" t="s">
        <v>62</v>
      </c>
      <c r="D14" s="8">
        <v>5</v>
      </c>
    </row>
    <row r="15" spans="1:5" x14ac:dyDescent="0.25">
      <c r="A15">
        <v>14</v>
      </c>
      <c r="B15" t="s">
        <v>78</v>
      </c>
      <c r="C15" t="s">
        <v>31</v>
      </c>
      <c r="D15" s="8">
        <v>3</v>
      </c>
    </row>
    <row r="16" spans="1:5" x14ac:dyDescent="0.25">
      <c r="A16">
        <v>15</v>
      </c>
      <c r="B16" t="s">
        <v>79</v>
      </c>
      <c r="C16" t="s">
        <v>31</v>
      </c>
      <c r="D16" s="8">
        <v>5</v>
      </c>
    </row>
    <row r="17" spans="1:4" x14ac:dyDescent="0.25">
      <c r="A17">
        <v>16</v>
      </c>
      <c r="B17" t="s">
        <v>80</v>
      </c>
      <c r="C17" t="s">
        <v>31</v>
      </c>
      <c r="D17" s="8">
        <v>3.5</v>
      </c>
    </row>
    <row r="18" spans="1:4" x14ac:dyDescent="0.25">
      <c r="A18">
        <v>17</v>
      </c>
      <c r="B18" t="s">
        <v>73</v>
      </c>
      <c r="C18" t="s">
        <v>63</v>
      </c>
      <c r="D18" s="8">
        <v>15</v>
      </c>
    </row>
    <row r="19" spans="1:4" x14ac:dyDescent="0.25">
      <c r="A19">
        <v>18</v>
      </c>
      <c r="B19" t="s">
        <v>75</v>
      </c>
      <c r="C19" t="s">
        <v>63</v>
      </c>
      <c r="D19" s="8">
        <v>15</v>
      </c>
    </row>
    <row r="20" spans="1:4" x14ac:dyDescent="0.25">
      <c r="A20">
        <v>19</v>
      </c>
      <c r="B20" t="s">
        <v>81</v>
      </c>
      <c r="C20" t="s">
        <v>63</v>
      </c>
      <c r="D20" s="8">
        <v>10</v>
      </c>
    </row>
    <row r="21" spans="1:4" x14ac:dyDescent="0.25">
      <c r="A21">
        <v>20</v>
      </c>
      <c r="B21" t="s">
        <v>83</v>
      </c>
      <c r="C21" t="s">
        <v>28</v>
      </c>
      <c r="D21" s="8">
        <v>15</v>
      </c>
    </row>
    <row r="22" spans="1:4" x14ac:dyDescent="0.25">
      <c r="A22">
        <v>21</v>
      </c>
      <c r="B22" t="s">
        <v>84</v>
      </c>
      <c r="C22" t="s">
        <v>28</v>
      </c>
      <c r="D22" s="8">
        <v>15</v>
      </c>
    </row>
    <row r="23" spans="1:4" x14ac:dyDescent="0.25">
      <c r="A23">
        <v>22</v>
      </c>
      <c r="B23" t="s">
        <v>85</v>
      </c>
      <c r="C23" t="s">
        <v>32</v>
      </c>
      <c r="D23" s="8">
        <v>80</v>
      </c>
    </row>
    <row r="24" spans="1:4" x14ac:dyDescent="0.25">
      <c r="A24">
        <v>23</v>
      </c>
      <c r="B24" t="s">
        <v>86</v>
      </c>
      <c r="C24" t="s">
        <v>32</v>
      </c>
      <c r="D24" s="8">
        <v>80</v>
      </c>
    </row>
    <row r="25" spans="1:4" x14ac:dyDescent="0.25">
      <c r="A25">
        <v>24</v>
      </c>
      <c r="B25" t="s">
        <v>87</v>
      </c>
      <c r="C25" t="s">
        <v>33</v>
      </c>
      <c r="D25" s="8">
        <v>60</v>
      </c>
    </row>
    <row r="26" spans="1:4" x14ac:dyDescent="0.25">
      <c r="A26">
        <v>25</v>
      </c>
      <c r="B26" t="s">
        <v>88</v>
      </c>
      <c r="C26" t="s">
        <v>33</v>
      </c>
      <c r="D26" s="8">
        <v>40</v>
      </c>
    </row>
    <row r="27" spans="1:4" x14ac:dyDescent="0.25">
      <c r="A27">
        <v>26</v>
      </c>
      <c r="B27" t="s">
        <v>89</v>
      </c>
      <c r="C27" t="s">
        <v>33</v>
      </c>
      <c r="D27" s="8">
        <v>40</v>
      </c>
    </row>
    <row r="28" spans="1:4" x14ac:dyDescent="0.25">
      <c r="A28">
        <v>27</v>
      </c>
      <c r="B28" t="s">
        <v>90</v>
      </c>
      <c r="C28" t="s">
        <v>33</v>
      </c>
      <c r="D28" s="8">
        <v>40</v>
      </c>
    </row>
    <row r="29" spans="1:4" x14ac:dyDescent="0.25">
      <c r="A29">
        <v>28</v>
      </c>
      <c r="B29" t="s">
        <v>91</v>
      </c>
      <c r="C29" t="s">
        <v>33</v>
      </c>
      <c r="D29" s="8">
        <v>50</v>
      </c>
    </row>
    <row r="30" spans="1:4" x14ac:dyDescent="0.25">
      <c r="A30">
        <v>29</v>
      </c>
      <c r="B30" t="s">
        <v>92</v>
      </c>
      <c r="C30" t="s">
        <v>33</v>
      </c>
      <c r="D30" s="8">
        <v>20</v>
      </c>
    </row>
    <row r="31" spans="1:4" x14ac:dyDescent="0.25">
      <c r="A31">
        <v>30</v>
      </c>
      <c r="B31" t="s">
        <v>93</v>
      </c>
      <c r="C31" t="s">
        <v>33</v>
      </c>
      <c r="D31" s="8">
        <v>20</v>
      </c>
    </row>
    <row r="32" spans="1:4" x14ac:dyDescent="0.25">
      <c r="A32">
        <v>31</v>
      </c>
      <c r="B32" t="s">
        <v>94</v>
      </c>
      <c r="C32" t="s">
        <v>33</v>
      </c>
      <c r="D32" s="8">
        <v>40</v>
      </c>
    </row>
    <row r="33" spans="1:4" x14ac:dyDescent="0.25">
      <c r="A33">
        <v>32</v>
      </c>
      <c r="B33" t="s">
        <v>95</v>
      </c>
      <c r="C33" t="s">
        <v>33</v>
      </c>
      <c r="D33" s="8">
        <v>20</v>
      </c>
    </row>
    <row r="34" spans="1:4" x14ac:dyDescent="0.25">
      <c r="A34">
        <v>33</v>
      </c>
      <c r="B34" t="s">
        <v>96</v>
      </c>
      <c r="C34" t="s">
        <v>33</v>
      </c>
      <c r="D34" s="8">
        <v>30</v>
      </c>
    </row>
  </sheetData>
  <dataValidations count="1">
    <dataValidation type="list" allowBlank="1" showInputMessage="1" showErrorMessage="1" sqref="C2:C1048576">
      <formula1>GRUPOPRODUTOS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12"/>
  <sheetViews>
    <sheetView workbookViewId="0">
      <selection activeCell="G3" sqref="G3"/>
    </sheetView>
  </sheetViews>
  <sheetFormatPr defaultRowHeight="15" x14ac:dyDescent="0.25"/>
  <cols>
    <col min="1" max="1" width="11.140625" bestFit="1" customWidth="1"/>
    <col min="2" max="2" width="22.42578125" bestFit="1" customWidth="1"/>
  </cols>
  <sheetData>
    <row r="1" spans="1:7" x14ac:dyDescent="0.25">
      <c r="A1" s="25" t="s">
        <v>27</v>
      </c>
      <c r="B1" s="25" t="s">
        <v>26</v>
      </c>
    </row>
    <row r="2" spans="1:7" x14ac:dyDescent="0.25">
      <c r="A2">
        <v>1</v>
      </c>
      <c r="B2" t="s">
        <v>32</v>
      </c>
      <c r="G2" s="17" t="s">
        <v>103</v>
      </c>
    </row>
    <row r="3" spans="1:7" x14ac:dyDescent="0.25">
      <c r="A3">
        <v>2</v>
      </c>
      <c r="B3" t="s">
        <v>28</v>
      </c>
      <c r="G3" s="17" t="s">
        <v>97</v>
      </c>
    </row>
    <row r="4" spans="1:7" x14ac:dyDescent="0.25">
      <c r="A4">
        <v>3</v>
      </c>
      <c r="B4" t="s">
        <v>29</v>
      </c>
    </row>
    <row r="5" spans="1:7" x14ac:dyDescent="0.25">
      <c r="A5">
        <v>4</v>
      </c>
      <c r="B5" t="s">
        <v>62</v>
      </c>
      <c r="G5" t="s">
        <v>134</v>
      </c>
    </row>
    <row r="6" spans="1:7" x14ac:dyDescent="0.25">
      <c r="A6">
        <v>5</v>
      </c>
      <c r="B6" t="s">
        <v>63</v>
      </c>
    </row>
    <row r="7" spans="1:7" x14ac:dyDescent="0.25">
      <c r="A7">
        <v>6</v>
      </c>
      <c r="B7" t="s">
        <v>61</v>
      </c>
    </row>
    <row r="8" spans="1:7" x14ac:dyDescent="0.25">
      <c r="A8">
        <v>7</v>
      </c>
      <c r="B8" t="s">
        <v>30</v>
      </c>
    </row>
    <row r="9" spans="1:7" x14ac:dyDescent="0.25">
      <c r="A9">
        <v>8</v>
      </c>
      <c r="B9" t="s">
        <v>31</v>
      </c>
    </row>
    <row r="10" spans="1:7" x14ac:dyDescent="0.25">
      <c r="A10">
        <v>9</v>
      </c>
      <c r="B10" t="s">
        <v>33</v>
      </c>
    </row>
    <row r="11" spans="1:7" x14ac:dyDescent="0.25">
      <c r="A11">
        <v>10</v>
      </c>
      <c r="B11" t="s">
        <v>56</v>
      </c>
    </row>
    <row r="12" spans="1:7" x14ac:dyDescent="0.25">
      <c r="A12">
        <v>11</v>
      </c>
      <c r="B12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117"/>
  <sheetViews>
    <sheetView topLeftCell="B1" zoomScale="80" zoomScaleNormal="80" workbookViewId="0">
      <pane ySplit="1" topLeftCell="A92" activePane="bottomLeft" state="frozen"/>
      <selection pane="bottomLeft" activeCell="R96" sqref="A96:R96"/>
    </sheetView>
  </sheetViews>
  <sheetFormatPr defaultRowHeight="15" x14ac:dyDescent="0.25"/>
  <cols>
    <col min="1" max="1" width="8.28515625" customWidth="1"/>
    <col min="2" max="2" width="13.7109375" customWidth="1"/>
    <col min="3" max="3" width="12.7109375" style="7" customWidth="1"/>
    <col min="4" max="4" width="13.7109375" bestFit="1" customWidth="1"/>
    <col min="5" max="5" width="20.7109375" bestFit="1" customWidth="1"/>
    <col min="6" max="6" width="18.140625" bestFit="1" customWidth="1"/>
    <col min="7" max="7" width="18.140625" customWidth="1"/>
    <col min="8" max="8" width="24.140625" customWidth="1"/>
    <col min="9" max="9" width="13.42578125" style="8" customWidth="1"/>
    <col min="10" max="10" width="14.7109375" customWidth="1"/>
    <col min="11" max="11" width="13.140625" style="8" bestFit="1" customWidth="1"/>
    <col min="12" max="12" width="9.85546875" style="12" bestFit="1" customWidth="1"/>
    <col min="13" max="13" width="8.42578125" style="8" bestFit="1" customWidth="1"/>
    <col min="14" max="14" width="10.42578125" customWidth="1"/>
    <col min="15" max="15" width="9.140625" style="12"/>
    <col min="16" max="16" width="9.140625" style="2"/>
    <col min="18" max="18" width="14.5703125" customWidth="1"/>
  </cols>
  <sheetData>
    <row r="1" spans="1:18" x14ac:dyDescent="0.25">
      <c r="A1" s="25" t="s">
        <v>0</v>
      </c>
      <c r="B1" s="25" t="s">
        <v>22</v>
      </c>
      <c r="C1" s="25" t="s">
        <v>20</v>
      </c>
      <c r="D1" s="25" t="s">
        <v>18</v>
      </c>
      <c r="E1" s="25" t="s">
        <v>19</v>
      </c>
      <c r="F1" s="25" t="s">
        <v>26</v>
      </c>
      <c r="G1" s="25" t="s">
        <v>99</v>
      </c>
      <c r="H1" s="25" t="s">
        <v>21</v>
      </c>
      <c r="I1" s="25" t="s">
        <v>23</v>
      </c>
      <c r="J1" s="25" t="s">
        <v>24</v>
      </c>
      <c r="K1" s="25" t="s">
        <v>54</v>
      </c>
      <c r="L1" s="25" t="s">
        <v>100</v>
      </c>
      <c r="M1" s="25" t="s">
        <v>17</v>
      </c>
      <c r="N1" s="25" t="s">
        <v>25</v>
      </c>
      <c r="O1" s="25" t="s">
        <v>101</v>
      </c>
      <c r="P1" s="25" t="s">
        <v>102</v>
      </c>
      <c r="Q1" s="25" t="s">
        <v>117</v>
      </c>
      <c r="R1" s="25" t="s">
        <v>105</v>
      </c>
    </row>
    <row r="2" spans="1:18" x14ac:dyDescent="0.25">
      <c r="A2">
        <v>1</v>
      </c>
      <c r="B2" s="9">
        <v>42722</v>
      </c>
      <c r="C2" s="7">
        <v>0</v>
      </c>
      <c r="D2">
        <v>0</v>
      </c>
      <c r="E2" t="s">
        <v>66</v>
      </c>
      <c r="F2" t="s">
        <v>61</v>
      </c>
      <c r="H2" t="s">
        <v>58</v>
      </c>
      <c r="I2" s="8">
        <v>0</v>
      </c>
      <c r="J2">
        <v>0</v>
      </c>
      <c r="K2" s="8">
        <v>0</v>
      </c>
      <c r="N2" t="s">
        <v>97</v>
      </c>
      <c r="O2" s="12">
        <v>0</v>
      </c>
    </row>
    <row r="3" spans="1:18" x14ac:dyDescent="0.25">
      <c r="A3">
        <v>2</v>
      </c>
      <c r="B3" s="9">
        <v>42728</v>
      </c>
      <c r="C3" s="7">
        <v>1</v>
      </c>
      <c r="D3">
        <v>3</v>
      </c>
      <c r="E3" t="s">
        <v>66</v>
      </c>
      <c r="F3" t="s">
        <v>61</v>
      </c>
      <c r="G3">
        <v>0</v>
      </c>
      <c r="H3" t="s">
        <v>135</v>
      </c>
      <c r="I3" s="8">
        <v>3.5</v>
      </c>
      <c r="J3">
        <v>1</v>
      </c>
      <c r="K3" s="8">
        <v>3.5</v>
      </c>
      <c r="L3" s="12">
        <v>0</v>
      </c>
      <c r="M3" s="8" t="s">
        <v>136</v>
      </c>
      <c r="N3" t="s">
        <v>97</v>
      </c>
      <c r="O3" s="12">
        <v>12</v>
      </c>
      <c r="P3" s="2">
        <v>2016</v>
      </c>
      <c r="Q3">
        <v>24</v>
      </c>
    </row>
    <row r="4" spans="1:18" x14ac:dyDescent="0.25">
      <c r="A4">
        <v>3</v>
      </c>
      <c r="B4" s="9">
        <v>42728</v>
      </c>
      <c r="C4" s="7">
        <v>2</v>
      </c>
      <c r="D4">
        <v>2</v>
      </c>
      <c r="E4" t="s">
        <v>65</v>
      </c>
      <c r="F4" t="s">
        <v>61</v>
      </c>
      <c r="G4">
        <v>0</v>
      </c>
      <c r="H4" t="s">
        <v>135</v>
      </c>
      <c r="I4" s="8">
        <v>3.5</v>
      </c>
      <c r="J4">
        <v>1</v>
      </c>
      <c r="K4" s="8">
        <v>3.5</v>
      </c>
      <c r="L4" s="12">
        <v>0</v>
      </c>
      <c r="M4" s="8" t="s">
        <v>136</v>
      </c>
      <c r="N4" t="s">
        <v>97</v>
      </c>
      <c r="O4" s="12">
        <v>12</v>
      </c>
      <c r="P4" s="2">
        <v>2016</v>
      </c>
      <c r="Q4">
        <v>24</v>
      </c>
    </row>
    <row r="5" spans="1:18" x14ac:dyDescent="0.25">
      <c r="A5">
        <v>4</v>
      </c>
      <c r="B5" s="9">
        <v>42728</v>
      </c>
      <c r="C5" s="7">
        <v>2</v>
      </c>
      <c r="D5">
        <v>3</v>
      </c>
      <c r="E5" t="s">
        <v>66</v>
      </c>
      <c r="F5" t="s">
        <v>61</v>
      </c>
      <c r="G5">
        <v>0</v>
      </c>
      <c r="H5" t="s">
        <v>135</v>
      </c>
      <c r="I5" s="8">
        <v>3.5</v>
      </c>
      <c r="J5">
        <v>1</v>
      </c>
      <c r="K5" s="8">
        <v>3.5</v>
      </c>
      <c r="L5" s="12">
        <v>0</v>
      </c>
      <c r="M5" s="8" t="s">
        <v>136</v>
      </c>
      <c r="N5" t="s">
        <v>97</v>
      </c>
      <c r="O5" s="12">
        <v>12</v>
      </c>
      <c r="P5" s="2">
        <v>2016</v>
      </c>
      <c r="Q5">
        <v>24</v>
      </c>
    </row>
    <row r="6" spans="1:18" x14ac:dyDescent="0.25">
      <c r="A6">
        <v>5</v>
      </c>
      <c r="B6" s="9">
        <v>42728</v>
      </c>
      <c r="C6" s="7">
        <v>2</v>
      </c>
      <c r="D6">
        <v>3</v>
      </c>
      <c r="E6" t="s">
        <v>66</v>
      </c>
      <c r="F6" t="s">
        <v>61</v>
      </c>
      <c r="G6">
        <v>0</v>
      </c>
      <c r="H6" t="s">
        <v>135</v>
      </c>
      <c r="I6" s="8">
        <v>3.5</v>
      </c>
      <c r="J6">
        <v>1</v>
      </c>
      <c r="K6" s="8">
        <v>3.5</v>
      </c>
      <c r="L6" s="12">
        <v>0</v>
      </c>
      <c r="M6" s="8" t="s">
        <v>136</v>
      </c>
      <c r="N6" t="s">
        <v>97</v>
      </c>
      <c r="O6" s="12">
        <v>12</v>
      </c>
      <c r="P6" s="2">
        <v>2016</v>
      </c>
      <c r="Q6">
        <v>24</v>
      </c>
    </row>
    <row r="7" spans="1:18" x14ac:dyDescent="0.25">
      <c r="A7">
        <v>6</v>
      </c>
      <c r="B7" s="9">
        <v>42728</v>
      </c>
      <c r="C7" s="7">
        <v>3</v>
      </c>
      <c r="D7">
        <v>4</v>
      </c>
      <c r="E7" t="s">
        <v>76</v>
      </c>
      <c r="F7" t="s">
        <v>61</v>
      </c>
      <c r="G7">
        <v>2</v>
      </c>
      <c r="H7" t="s">
        <v>55</v>
      </c>
      <c r="I7" s="8">
        <v>7</v>
      </c>
      <c r="J7">
        <v>1</v>
      </c>
      <c r="K7" s="8">
        <v>7</v>
      </c>
      <c r="L7" s="12">
        <v>1</v>
      </c>
      <c r="M7" s="8" t="s">
        <v>34</v>
      </c>
      <c r="N7" t="s">
        <v>97</v>
      </c>
      <c r="O7" s="12">
        <v>12</v>
      </c>
      <c r="P7" s="2">
        <v>2016</v>
      </c>
      <c r="Q7">
        <v>24</v>
      </c>
    </row>
    <row r="8" spans="1:18" x14ac:dyDescent="0.25">
      <c r="A8">
        <v>7</v>
      </c>
      <c r="B8" s="9">
        <v>42728</v>
      </c>
      <c r="C8" s="7">
        <v>3</v>
      </c>
      <c r="D8">
        <v>4</v>
      </c>
      <c r="E8" t="s">
        <v>76</v>
      </c>
      <c r="F8" t="s">
        <v>61</v>
      </c>
      <c r="G8">
        <v>2</v>
      </c>
      <c r="H8" t="s">
        <v>55</v>
      </c>
      <c r="I8" s="8">
        <v>7</v>
      </c>
      <c r="J8">
        <v>1</v>
      </c>
      <c r="K8" s="8">
        <v>7</v>
      </c>
      <c r="L8" s="12">
        <v>1</v>
      </c>
      <c r="M8" s="8" t="s">
        <v>34</v>
      </c>
      <c r="N8" t="s">
        <v>97</v>
      </c>
      <c r="O8" s="12">
        <v>12</v>
      </c>
      <c r="P8" s="2">
        <v>2016</v>
      </c>
      <c r="Q8">
        <v>24</v>
      </c>
    </row>
    <row r="9" spans="1:18" x14ac:dyDescent="0.25">
      <c r="A9">
        <v>8</v>
      </c>
      <c r="B9" s="9">
        <v>42728</v>
      </c>
      <c r="C9" s="7">
        <v>3</v>
      </c>
      <c r="D9">
        <v>4</v>
      </c>
      <c r="E9" t="s">
        <v>76</v>
      </c>
      <c r="F9" t="s">
        <v>61</v>
      </c>
      <c r="G9">
        <v>4</v>
      </c>
      <c r="H9" t="s">
        <v>60</v>
      </c>
      <c r="I9" s="8">
        <v>7</v>
      </c>
      <c r="J9">
        <v>1</v>
      </c>
      <c r="K9" s="8">
        <v>7</v>
      </c>
      <c r="L9" s="12">
        <v>1</v>
      </c>
      <c r="M9" s="8" t="s">
        <v>133</v>
      </c>
      <c r="N9" t="s">
        <v>97</v>
      </c>
      <c r="O9" s="12">
        <v>12</v>
      </c>
      <c r="P9" s="2">
        <v>2016</v>
      </c>
      <c r="Q9">
        <v>24</v>
      </c>
    </row>
    <row r="10" spans="1:18" x14ac:dyDescent="0.25">
      <c r="A10">
        <v>9</v>
      </c>
      <c r="B10" s="9">
        <v>42728</v>
      </c>
      <c r="C10" s="7">
        <v>3</v>
      </c>
      <c r="D10">
        <v>3</v>
      </c>
      <c r="E10" t="s">
        <v>66</v>
      </c>
      <c r="F10" t="s">
        <v>61</v>
      </c>
      <c r="G10">
        <v>2</v>
      </c>
      <c r="H10" t="s">
        <v>55</v>
      </c>
      <c r="I10" s="8">
        <v>3.5</v>
      </c>
      <c r="J10">
        <v>1</v>
      </c>
      <c r="K10" s="8">
        <v>3.5</v>
      </c>
      <c r="L10" s="12">
        <v>1</v>
      </c>
      <c r="M10" s="8" t="s">
        <v>133</v>
      </c>
      <c r="N10" t="s">
        <v>97</v>
      </c>
      <c r="O10" s="12">
        <v>12</v>
      </c>
      <c r="P10" s="2">
        <v>2016</v>
      </c>
      <c r="Q10">
        <v>24</v>
      </c>
    </row>
    <row r="11" spans="1:18" x14ac:dyDescent="0.25">
      <c r="A11">
        <v>10</v>
      </c>
      <c r="B11" s="9">
        <v>42728</v>
      </c>
      <c r="C11" s="7">
        <v>4</v>
      </c>
      <c r="D11">
        <v>5</v>
      </c>
      <c r="E11" t="s">
        <v>67</v>
      </c>
      <c r="F11" t="s">
        <v>31</v>
      </c>
      <c r="G11">
        <v>4</v>
      </c>
      <c r="H11" t="s">
        <v>60</v>
      </c>
      <c r="I11" s="8">
        <v>4</v>
      </c>
      <c r="J11">
        <v>1</v>
      </c>
      <c r="K11" s="8">
        <v>4</v>
      </c>
      <c r="L11" s="12">
        <v>3</v>
      </c>
      <c r="M11" s="8" t="s">
        <v>36</v>
      </c>
      <c r="N11" t="s">
        <v>97</v>
      </c>
      <c r="O11" s="12">
        <v>12</v>
      </c>
      <c r="P11" s="2">
        <v>2016</v>
      </c>
      <c r="Q11">
        <v>24</v>
      </c>
    </row>
    <row r="12" spans="1:18" x14ac:dyDescent="0.25">
      <c r="A12">
        <v>11</v>
      </c>
      <c r="B12" s="9">
        <v>42728</v>
      </c>
      <c r="C12" s="7">
        <v>5</v>
      </c>
      <c r="D12">
        <v>4</v>
      </c>
      <c r="E12" t="s">
        <v>76</v>
      </c>
      <c r="F12" t="s">
        <v>82</v>
      </c>
      <c r="G12">
        <v>0</v>
      </c>
      <c r="H12" t="s">
        <v>135</v>
      </c>
      <c r="I12" s="8">
        <v>7</v>
      </c>
      <c r="J12">
        <v>1</v>
      </c>
      <c r="K12" s="8">
        <v>7</v>
      </c>
      <c r="L12" s="12">
        <v>0</v>
      </c>
      <c r="M12" s="8" t="s">
        <v>136</v>
      </c>
      <c r="N12" t="s">
        <v>97</v>
      </c>
      <c r="O12" s="12">
        <v>12</v>
      </c>
      <c r="P12" s="2">
        <v>2016</v>
      </c>
      <c r="Q12">
        <v>24</v>
      </c>
    </row>
    <row r="13" spans="1:18" x14ac:dyDescent="0.25">
      <c r="A13">
        <v>12</v>
      </c>
      <c r="B13" s="9">
        <v>42728</v>
      </c>
      <c r="C13" s="7">
        <v>5</v>
      </c>
      <c r="D13">
        <v>4</v>
      </c>
      <c r="E13" t="s">
        <v>76</v>
      </c>
      <c r="F13" t="s">
        <v>82</v>
      </c>
      <c r="G13">
        <v>0</v>
      </c>
      <c r="H13" t="s">
        <v>135</v>
      </c>
      <c r="I13" s="8">
        <v>7</v>
      </c>
      <c r="J13">
        <v>1</v>
      </c>
      <c r="K13" s="8">
        <v>7</v>
      </c>
      <c r="L13" s="12">
        <v>0</v>
      </c>
      <c r="M13" s="8" t="s">
        <v>136</v>
      </c>
      <c r="N13" t="s">
        <v>97</v>
      </c>
      <c r="O13" s="12">
        <v>12</v>
      </c>
      <c r="P13" s="2">
        <v>2016</v>
      </c>
      <c r="Q13">
        <v>24</v>
      </c>
    </row>
    <row r="14" spans="1:18" x14ac:dyDescent="0.25">
      <c r="A14">
        <v>13</v>
      </c>
      <c r="B14" s="9">
        <v>42728</v>
      </c>
      <c r="C14" s="7">
        <v>6</v>
      </c>
      <c r="D14">
        <v>5</v>
      </c>
      <c r="E14" t="s">
        <v>67</v>
      </c>
      <c r="F14" t="s">
        <v>31</v>
      </c>
      <c r="G14">
        <v>0</v>
      </c>
      <c r="H14" t="s">
        <v>135</v>
      </c>
      <c r="I14" s="8">
        <v>4</v>
      </c>
      <c r="J14">
        <v>1</v>
      </c>
      <c r="K14" s="8">
        <v>4</v>
      </c>
      <c r="L14" s="12">
        <v>0</v>
      </c>
      <c r="M14" s="8" t="s">
        <v>136</v>
      </c>
      <c r="N14" t="s">
        <v>97</v>
      </c>
      <c r="O14" s="12">
        <v>12</v>
      </c>
      <c r="P14" s="2">
        <v>2016</v>
      </c>
      <c r="Q14">
        <v>24</v>
      </c>
    </row>
    <row r="15" spans="1:18" x14ac:dyDescent="0.25">
      <c r="A15">
        <v>14</v>
      </c>
      <c r="B15" s="9">
        <v>42728</v>
      </c>
      <c r="C15" s="7">
        <v>7</v>
      </c>
      <c r="D15">
        <v>4</v>
      </c>
      <c r="E15" t="s">
        <v>76</v>
      </c>
      <c r="F15" t="s">
        <v>82</v>
      </c>
      <c r="G15">
        <v>2</v>
      </c>
      <c r="H15" t="s">
        <v>55</v>
      </c>
      <c r="I15" s="8">
        <v>7</v>
      </c>
      <c r="J15">
        <v>2</v>
      </c>
      <c r="K15" s="8">
        <v>14</v>
      </c>
      <c r="L15" s="12">
        <v>2</v>
      </c>
      <c r="M15" s="8" t="s">
        <v>35</v>
      </c>
      <c r="N15" t="s">
        <v>97</v>
      </c>
      <c r="O15" s="12">
        <v>12</v>
      </c>
      <c r="P15" s="2">
        <v>2016</v>
      </c>
      <c r="Q15">
        <v>24</v>
      </c>
    </row>
    <row r="16" spans="1:18" x14ac:dyDescent="0.25">
      <c r="A16">
        <v>15</v>
      </c>
      <c r="B16" s="9">
        <v>42728</v>
      </c>
      <c r="C16" s="7">
        <v>7</v>
      </c>
      <c r="D16">
        <v>3</v>
      </c>
      <c r="E16" t="s">
        <v>66</v>
      </c>
      <c r="F16" t="s">
        <v>61</v>
      </c>
      <c r="G16">
        <v>2</v>
      </c>
      <c r="H16" t="s">
        <v>55</v>
      </c>
      <c r="I16" s="8">
        <v>3.5</v>
      </c>
      <c r="J16">
        <v>1</v>
      </c>
      <c r="K16" s="8">
        <v>3.5</v>
      </c>
      <c r="L16" s="12">
        <v>2</v>
      </c>
      <c r="M16" s="8" t="s">
        <v>35</v>
      </c>
      <c r="N16" t="s">
        <v>97</v>
      </c>
      <c r="O16" s="12">
        <v>12</v>
      </c>
      <c r="P16" s="2">
        <v>2016</v>
      </c>
      <c r="Q16">
        <v>24</v>
      </c>
    </row>
    <row r="17" spans="1:17" x14ac:dyDescent="0.25">
      <c r="A17">
        <v>16</v>
      </c>
      <c r="B17" s="9">
        <v>42728</v>
      </c>
      <c r="C17" s="7">
        <v>7</v>
      </c>
      <c r="D17">
        <v>3</v>
      </c>
      <c r="E17" t="s">
        <v>66</v>
      </c>
      <c r="F17" t="s">
        <v>61</v>
      </c>
      <c r="G17">
        <v>2</v>
      </c>
      <c r="H17" t="s">
        <v>55</v>
      </c>
      <c r="I17" s="8">
        <v>3.5</v>
      </c>
      <c r="J17">
        <v>1</v>
      </c>
      <c r="K17" s="8">
        <v>3.5</v>
      </c>
      <c r="L17" s="12">
        <v>2</v>
      </c>
      <c r="M17" s="8" t="s">
        <v>35</v>
      </c>
      <c r="N17" t="s">
        <v>97</v>
      </c>
      <c r="O17" s="12">
        <v>12</v>
      </c>
      <c r="P17" s="2">
        <v>2016</v>
      </c>
      <c r="Q17">
        <v>24</v>
      </c>
    </row>
    <row r="18" spans="1:17" x14ac:dyDescent="0.25">
      <c r="A18">
        <v>17</v>
      </c>
      <c r="B18" s="9">
        <v>42728</v>
      </c>
      <c r="C18" s="7">
        <v>7</v>
      </c>
      <c r="D18">
        <v>3</v>
      </c>
      <c r="E18" t="s">
        <v>66</v>
      </c>
      <c r="F18" t="s">
        <v>61</v>
      </c>
      <c r="G18">
        <v>2</v>
      </c>
      <c r="H18" t="s">
        <v>55</v>
      </c>
      <c r="I18" s="8">
        <v>3.5</v>
      </c>
      <c r="J18">
        <v>1</v>
      </c>
      <c r="K18" s="8">
        <v>3.5</v>
      </c>
      <c r="L18" s="12">
        <v>2</v>
      </c>
      <c r="M18" s="8" t="s">
        <v>143</v>
      </c>
      <c r="N18" t="s">
        <v>97</v>
      </c>
      <c r="O18" s="12">
        <v>12</v>
      </c>
      <c r="P18" s="2">
        <v>2016</v>
      </c>
      <c r="Q18">
        <v>24</v>
      </c>
    </row>
    <row r="19" spans="1:17" x14ac:dyDescent="0.25">
      <c r="A19">
        <v>18</v>
      </c>
      <c r="B19" s="9">
        <v>42728</v>
      </c>
      <c r="C19" s="7">
        <v>8</v>
      </c>
      <c r="D19">
        <v>3</v>
      </c>
      <c r="E19" t="s">
        <v>66</v>
      </c>
      <c r="F19" t="s">
        <v>61</v>
      </c>
      <c r="G19">
        <v>2</v>
      </c>
      <c r="H19" t="s">
        <v>55</v>
      </c>
      <c r="I19" s="8">
        <v>3.5</v>
      </c>
      <c r="J19">
        <v>1</v>
      </c>
      <c r="K19" s="8">
        <v>3.5</v>
      </c>
      <c r="L19" s="12">
        <v>2</v>
      </c>
      <c r="M19" s="8" t="s">
        <v>35</v>
      </c>
      <c r="N19" t="s">
        <v>97</v>
      </c>
      <c r="O19" s="12">
        <v>12</v>
      </c>
      <c r="P19" s="2">
        <v>2016</v>
      </c>
      <c r="Q19">
        <v>24</v>
      </c>
    </row>
    <row r="20" spans="1:17" x14ac:dyDescent="0.25">
      <c r="A20">
        <v>19</v>
      </c>
      <c r="B20" s="9">
        <v>42728</v>
      </c>
      <c r="C20" s="7">
        <v>8</v>
      </c>
      <c r="D20">
        <v>3</v>
      </c>
      <c r="E20" t="s">
        <v>66</v>
      </c>
      <c r="F20" t="s">
        <v>61</v>
      </c>
      <c r="G20">
        <v>2</v>
      </c>
      <c r="H20" t="s">
        <v>55</v>
      </c>
      <c r="I20" s="8">
        <v>3.5</v>
      </c>
      <c r="J20">
        <v>1</v>
      </c>
      <c r="K20" s="8">
        <v>3.5</v>
      </c>
      <c r="L20" s="12">
        <v>2</v>
      </c>
      <c r="M20" s="8" t="s">
        <v>143</v>
      </c>
      <c r="N20" t="s">
        <v>97</v>
      </c>
      <c r="O20" s="12">
        <v>12</v>
      </c>
      <c r="P20" s="2">
        <v>2016</v>
      </c>
      <c r="Q20">
        <v>24</v>
      </c>
    </row>
    <row r="21" spans="1:17" x14ac:dyDescent="0.25">
      <c r="A21">
        <v>20</v>
      </c>
      <c r="B21" s="9">
        <v>42728</v>
      </c>
      <c r="C21" s="7">
        <v>9</v>
      </c>
      <c r="D21">
        <v>2</v>
      </c>
      <c r="E21" t="s">
        <v>65</v>
      </c>
      <c r="F21" t="s">
        <v>61</v>
      </c>
      <c r="G21">
        <v>0</v>
      </c>
      <c r="H21" t="s">
        <v>135</v>
      </c>
      <c r="I21" s="8">
        <v>3.5</v>
      </c>
      <c r="J21">
        <v>1</v>
      </c>
      <c r="K21" s="8">
        <v>3.5</v>
      </c>
      <c r="L21" s="12">
        <v>0</v>
      </c>
      <c r="M21" s="8" t="s">
        <v>136</v>
      </c>
      <c r="N21" t="s">
        <v>97</v>
      </c>
      <c r="O21" s="12">
        <v>12</v>
      </c>
      <c r="P21" s="2">
        <v>2016</v>
      </c>
      <c r="Q21">
        <v>24</v>
      </c>
    </row>
    <row r="22" spans="1:17" x14ac:dyDescent="0.25">
      <c r="A22">
        <v>21</v>
      </c>
      <c r="B22" s="9">
        <v>42728</v>
      </c>
      <c r="C22" s="7">
        <v>9</v>
      </c>
      <c r="D22">
        <v>3</v>
      </c>
      <c r="E22" t="s">
        <v>66</v>
      </c>
      <c r="F22" t="s">
        <v>61</v>
      </c>
      <c r="G22">
        <v>0</v>
      </c>
      <c r="H22" t="s">
        <v>135</v>
      </c>
      <c r="I22" s="8">
        <v>3.5</v>
      </c>
      <c r="J22">
        <v>1</v>
      </c>
      <c r="K22" s="8">
        <v>3.5</v>
      </c>
      <c r="L22" s="12">
        <v>0</v>
      </c>
      <c r="M22" s="8" t="s">
        <v>136</v>
      </c>
      <c r="N22" t="s">
        <v>97</v>
      </c>
      <c r="O22" s="12">
        <v>12</v>
      </c>
      <c r="P22" s="2">
        <v>2016</v>
      </c>
      <c r="Q22">
        <v>24</v>
      </c>
    </row>
    <row r="23" spans="1:17" x14ac:dyDescent="0.25">
      <c r="A23">
        <v>22</v>
      </c>
      <c r="B23" s="9">
        <v>42728</v>
      </c>
      <c r="C23" s="7">
        <v>9</v>
      </c>
      <c r="D23">
        <v>4</v>
      </c>
      <c r="E23" t="s">
        <v>76</v>
      </c>
      <c r="F23" t="s">
        <v>82</v>
      </c>
      <c r="G23">
        <v>0</v>
      </c>
      <c r="H23" t="s">
        <v>135</v>
      </c>
      <c r="I23" s="8">
        <v>7</v>
      </c>
      <c r="J23">
        <v>1</v>
      </c>
      <c r="K23" s="8">
        <v>7</v>
      </c>
      <c r="L23" s="12">
        <v>0</v>
      </c>
      <c r="M23" s="8" t="s">
        <v>136</v>
      </c>
      <c r="N23" t="s">
        <v>97</v>
      </c>
      <c r="O23" s="12">
        <v>12</v>
      </c>
      <c r="P23" s="2">
        <v>2016</v>
      </c>
      <c r="Q23">
        <v>24</v>
      </c>
    </row>
    <row r="24" spans="1:17" x14ac:dyDescent="0.25">
      <c r="A24">
        <v>23</v>
      </c>
      <c r="B24" s="9">
        <v>42728</v>
      </c>
      <c r="C24" s="7">
        <v>10</v>
      </c>
      <c r="D24">
        <v>3</v>
      </c>
      <c r="E24" t="s">
        <v>66</v>
      </c>
      <c r="F24" t="s">
        <v>61</v>
      </c>
      <c r="G24">
        <v>0</v>
      </c>
      <c r="H24" t="s">
        <v>135</v>
      </c>
      <c r="I24" s="8">
        <v>3.5</v>
      </c>
      <c r="J24">
        <v>1</v>
      </c>
      <c r="K24" s="8">
        <v>3.5</v>
      </c>
      <c r="L24" s="12">
        <v>0</v>
      </c>
      <c r="M24" s="8" t="s">
        <v>136</v>
      </c>
      <c r="N24" t="s">
        <v>97</v>
      </c>
      <c r="O24" s="12">
        <v>12</v>
      </c>
      <c r="P24" s="2">
        <v>2016</v>
      </c>
      <c r="Q24">
        <v>24</v>
      </c>
    </row>
    <row r="25" spans="1:17" x14ac:dyDescent="0.25">
      <c r="A25">
        <v>24</v>
      </c>
      <c r="B25" s="9">
        <v>42728</v>
      </c>
      <c r="C25" s="7">
        <v>11</v>
      </c>
      <c r="D25">
        <v>2</v>
      </c>
      <c r="E25" t="s">
        <v>65</v>
      </c>
      <c r="F25" t="s">
        <v>61</v>
      </c>
      <c r="G25">
        <v>1</v>
      </c>
      <c r="H25" t="s">
        <v>58</v>
      </c>
      <c r="I25" s="8">
        <v>3.5</v>
      </c>
      <c r="J25">
        <v>1</v>
      </c>
      <c r="K25" s="8">
        <v>3.5</v>
      </c>
      <c r="L25" s="12">
        <v>2</v>
      </c>
      <c r="M25" s="8" t="s">
        <v>35</v>
      </c>
      <c r="N25" t="s">
        <v>97</v>
      </c>
      <c r="O25" s="12">
        <v>12</v>
      </c>
      <c r="P25" s="2">
        <v>2016</v>
      </c>
      <c r="Q25">
        <v>24</v>
      </c>
    </row>
    <row r="26" spans="1:17" x14ac:dyDescent="0.25">
      <c r="A26">
        <v>25</v>
      </c>
      <c r="B26" s="9">
        <v>42728</v>
      </c>
      <c r="C26" s="7">
        <v>10</v>
      </c>
      <c r="D26">
        <v>7</v>
      </c>
      <c r="E26" t="s">
        <v>53</v>
      </c>
      <c r="F26" t="s">
        <v>31</v>
      </c>
      <c r="G26">
        <v>0</v>
      </c>
      <c r="H26" t="s">
        <v>135</v>
      </c>
      <c r="I26" s="8">
        <v>6</v>
      </c>
      <c r="J26">
        <v>1</v>
      </c>
      <c r="K26" s="8">
        <v>6</v>
      </c>
      <c r="L26" s="12">
        <v>0</v>
      </c>
      <c r="M26" s="8" t="s">
        <v>136</v>
      </c>
      <c r="N26" t="s">
        <v>97</v>
      </c>
      <c r="O26" s="12">
        <v>12</v>
      </c>
      <c r="P26" s="2">
        <v>2016</v>
      </c>
      <c r="Q26">
        <v>24</v>
      </c>
    </row>
    <row r="27" spans="1:17" x14ac:dyDescent="0.25">
      <c r="A27">
        <v>26</v>
      </c>
      <c r="B27" s="9">
        <v>42728</v>
      </c>
      <c r="C27" s="7">
        <v>10</v>
      </c>
      <c r="D27">
        <v>3</v>
      </c>
      <c r="E27" t="s">
        <v>66</v>
      </c>
      <c r="F27" t="s">
        <v>61</v>
      </c>
      <c r="G27">
        <v>0</v>
      </c>
      <c r="H27" t="s">
        <v>135</v>
      </c>
      <c r="I27" s="8">
        <v>3.5</v>
      </c>
      <c r="J27">
        <v>1</v>
      </c>
      <c r="K27" s="8">
        <v>3.5</v>
      </c>
      <c r="L27" s="12">
        <v>0</v>
      </c>
      <c r="M27" s="8" t="s">
        <v>136</v>
      </c>
      <c r="N27" t="s">
        <v>97</v>
      </c>
      <c r="O27" s="12">
        <v>12</v>
      </c>
      <c r="P27" s="2">
        <v>2016</v>
      </c>
      <c r="Q27">
        <v>24</v>
      </c>
    </row>
    <row r="28" spans="1:17" x14ac:dyDescent="0.25">
      <c r="A28">
        <v>27</v>
      </c>
      <c r="B28" s="9">
        <v>42728</v>
      </c>
      <c r="C28" s="7">
        <v>12</v>
      </c>
      <c r="D28">
        <v>3</v>
      </c>
      <c r="E28" t="s">
        <v>66</v>
      </c>
      <c r="F28" t="s">
        <v>61</v>
      </c>
      <c r="G28">
        <v>2</v>
      </c>
      <c r="H28" t="s">
        <v>55</v>
      </c>
      <c r="I28" s="8">
        <v>3.5</v>
      </c>
      <c r="J28">
        <v>1</v>
      </c>
      <c r="K28" s="8">
        <v>3.5</v>
      </c>
      <c r="L28" s="12">
        <v>6</v>
      </c>
      <c r="M28" s="8" t="s">
        <v>39</v>
      </c>
      <c r="N28" t="s">
        <v>97</v>
      </c>
      <c r="O28" s="12">
        <v>12</v>
      </c>
      <c r="P28" s="2">
        <v>2016</v>
      </c>
      <c r="Q28">
        <v>24</v>
      </c>
    </row>
    <row r="29" spans="1:17" x14ac:dyDescent="0.25">
      <c r="A29">
        <v>28</v>
      </c>
      <c r="B29" s="9">
        <v>42728</v>
      </c>
      <c r="C29" s="7">
        <v>12</v>
      </c>
      <c r="D29">
        <v>3</v>
      </c>
      <c r="E29" t="s">
        <v>66</v>
      </c>
      <c r="F29" t="s">
        <v>61</v>
      </c>
      <c r="G29">
        <v>2</v>
      </c>
      <c r="H29" t="s">
        <v>55</v>
      </c>
      <c r="I29" s="8">
        <v>3.5</v>
      </c>
      <c r="J29">
        <v>4</v>
      </c>
      <c r="K29" s="8">
        <v>14</v>
      </c>
      <c r="L29" s="12">
        <v>6</v>
      </c>
      <c r="M29" s="8" t="s">
        <v>146</v>
      </c>
      <c r="N29" t="s">
        <v>97</v>
      </c>
      <c r="O29" s="12">
        <v>12</v>
      </c>
      <c r="P29" s="2">
        <v>2016</v>
      </c>
      <c r="Q29">
        <v>24</v>
      </c>
    </row>
    <row r="30" spans="1:17" x14ac:dyDescent="0.25">
      <c r="A30">
        <v>29</v>
      </c>
      <c r="B30" s="9">
        <v>42728</v>
      </c>
      <c r="C30" s="7">
        <v>12</v>
      </c>
      <c r="D30">
        <v>7</v>
      </c>
      <c r="E30" t="s">
        <v>53</v>
      </c>
      <c r="F30" t="s">
        <v>31</v>
      </c>
      <c r="G30">
        <v>2</v>
      </c>
      <c r="H30" t="s">
        <v>55</v>
      </c>
      <c r="I30" s="8">
        <v>6</v>
      </c>
      <c r="J30">
        <v>1</v>
      </c>
      <c r="K30" s="8">
        <v>6</v>
      </c>
      <c r="L30" s="12">
        <v>6</v>
      </c>
      <c r="M30" s="8" t="s">
        <v>146</v>
      </c>
      <c r="N30" t="s">
        <v>97</v>
      </c>
      <c r="O30" s="12">
        <v>12</v>
      </c>
      <c r="P30" s="2">
        <v>2016</v>
      </c>
      <c r="Q30">
        <v>24</v>
      </c>
    </row>
    <row r="31" spans="1:17" x14ac:dyDescent="0.25">
      <c r="A31">
        <v>30</v>
      </c>
      <c r="B31" s="9">
        <v>42728</v>
      </c>
      <c r="C31" s="7">
        <v>12</v>
      </c>
      <c r="D31">
        <v>8</v>
      </c>
      <c r="E31" t="s">
        <v>74</v>
      </c>
      <c r="F31" t="s">
        <v>62</v>
      </c>
      <c r="G31">
        <v>2</v>
      </c>
      <c r="H31" t="s">
        <v>55</v>
      </c>
      <c r="I31" s="8">
        <v>5</v>
      </c>
      <c r="J31">
        <v>1</v>
      </c>
      <c r="K31" s="8">
        <v>5</v>
      </c>
      <c r="L31" s="12">
        <v>6</v>
      </c>
      <c r="M31" s="8" t="s">
        <v>146</v>
      </c>
      <c r="N31" t="s">
        <v>97</v>
      </c>
      <c r="O31" s="12">
        <v>12</v>
      </c>
      <c r="P31" s="2">
        <v>2016</v>
      </c>
      <c r="Q31">
        <v>24</v>
      </c>
    </row>
    <row r="32" spans="1:17" x14ac:dyDescent="0.25">
      <c r="A32">
        <v>31</v>
      </c>
      <c r="B32" s="9">
        <v>42728</v>
      </c>
      <c r="C32" s="7">
        <v>13</v>
      </c>
      <c r="D32">
        <v>3</v>
      </c>
      <c r="E32" t="s">
        <v>66</v>
      </c>
      <c r="F32" t="s">
        <v>61</v>
      </c>
      <c r="G32">
        <v>3</v>
      </c>
      <c r="H32" t="s">
        <v>59</v>
      </c>
      <c r="I32" s="8">
        <v>3.5</v>
      </c>
      <c r="J32">
        <v>1</v>
      </c>
      <c r="K32" s="8">
        <v>3.5</v>
      </c>
      <c r="L32" s="12">
        <v>2</v>
      </c>
      <c r="M32" s="8" t="s">
        <v>35</v>
      </c>
      <c r="N32" t="s">
        <v>97</v>
      </c>
      <c r="O32" s="12">
        <v>12</v>
      </c>
      <c r="P32" s="2">
        <v>2016</v>
      </c>
      <c r="Q32">
        <v>24</v>
      </c>
    </row>
    <row r="33" spans="1:17" x14ac:dyDescent="0.25">
      <c r="A33">
        <v>32</v>
      </c>
      <c r="B33" s="9">
        <v>42728</v>
      </c>
      <c r="C33" s="7">
        <v>13</v>
      </c>
      <c r="D33">
        <v>7</v>
      </c>
      <c r="E33" t="s">
        <v>53</v>
      </c>
      <c r="F33" t="s">
        <v>31</v>
      </c>
      <c r="G33">
        <v>3</v>
      </c>
      <c r="H33" t="s">
        <v>59</v>
      </c>
      <c r="I33" s="8">
        <v>6</v>
      </c>
      <c r="J33">
        <v>1</v>
      </c>
      <c r="K33" s="8">
        <v>6</v>
      </c>
      <c r="L33" s="12">
        <v>2</v>
      </c>
      <c r="M33" s="8" t="s">
        <v>35</v>
      </c>
      <c r="N33" t="s">
        <v>97</v>
      </c>
      <c r="O33" s="12">
        <v>12</v>
      </c>
      <c r="P33" s="2">
        <v>2016</v>
      </c>
      <c r="Q33">
        <v>24</v>
      </c>
    </row>
    <row r="34" spans="1:17" x14ac:dyDescent="0.25">
      <c r="A34">
        <v>33</v>
      </c>
      <c r="B34" s="9">
        <v>42728</v>
      </c>
      <c r="C34" s="7">
        <v>13</v>
      </c>
      <c r="D34">
        <v>2</v>
      </c>
      <c r="E34" t="s">
        <v>65</v>
      </c>
      <c r="F34" t="s">
        <v>61</v>
      </c>
      <c r="G34">
        <v>3</v>
      </c>
      <c r="H34" t="s">
        <v>59</v>
      </c>
      <c r="I34" s="8">
        <v>3.5</v>
      </c>
      <c r="J34">
        <v>1</v>
      </c>
      <c r="K34" s="8">
        <v>3.5</v>
      </c>
      <c r="L34" s="12">
        <v>2</v>
      </c>
      <c r="M34" s="8" t="s">
        <v>35</v>
      </c>
      <c r="N34" t="s">
        <v>97</v>
      </c>
      <c r="O34" s="12">
        <v>12</v>
      </c>
      <c r="P34" s="2">
        <v>2016</v>
      </c>
      <c r="Q34">
        <v>24</v>
      </c>
    </row>
    <row r="35" spans="1:17" x14ac:dyDescent="0.25">
      <c r="A35">
        <v>34</v>
      </c>
      <c r="B35" s="9">
        <v>42728</v>
      </c>
      <c r="C35" s="7">
        <v>14</v>
      </c>
      <c r="D35">
        <v>2</v>
      </c>
      <c r="E35" t="s">
        <v>65</v>
      </c>
      <c r="F35" t="s">
        <v>61</v>
      </c>
      <c r="G35">
        <v>2</v>
      </c>
      <c r="H35" t="s">
        <v>55</v>
      </c>
      <c r="I35" s="8">
        <v>3.5</v>
      </c>
      <c r="J35">
        <v>1</v>
      </c>
      <c r="K35" s="8">
        <v>3.5</v>
      </c>
      <c r="L35" s="12">
        <v>1</v>
      </c>
      <c r="M35" s="8" t="s">
        <v>34</v>
      </c>
      <c r="N35" t="s">
        <v>97</v>
      </c>
      <c r="O35" s="12">
        <v>12</v>
      </c>
      <c r="P35" s="2">
        <v>2016</v>
      </c>
      <c r="Q35">
        <v>24</v>
      </c>
    </row>
    <row r="36" spans="1:17" x14ac:dyDescent="0.25">
      <c r="A36">
        <v>35</v>
      </c>
      <c r="B36" s="9">
        <v>42728</v>
      </c>
      <c r="C36" s="7">
        <v>15</v>
      </c>
      <c r="D36">
        <v>2</v>
      </c>
      <c r="E36" t="s">
        <v>65</v>
      </c>
      <c r="F36" t="s">
        <v>61</v>
      </c>
      <c r="G36">
        <v>1</v>
      </c>
      <c r="H36" t="s">
        <v>58</v>
      </c>
      <c r="I36" s="8">
        <v>3.5</v>
      </c>
      <c r="J36">
        <v>1</v>
      </c>
      <c r="K36" s="8">
        <v>3.5</v>
      </c>
      <c r="L36" s="12">
        <v>3</v>
      </c>
      <c r="M36" s="8" t="s">
        <v>36</v>
      </c>
      <c r="N36" t="s">
        <v>97</v>
      </c>
      <c r="O36" s="12">
        <v>12</v>
      </c>
      <c r="P36" s="2">
        <v>2016</v>
      </c>
      <c r="Q36">
        <v>24</v>
      </c>
    </row>
    <row r="37" spans="1:17" x14ac:dyDescent="0.25">
      <c r="A37">
        <v>36</v>
      </c>
      <c r="B37" s="9">
        <v>42728</v>
      </c>
      <c r="C37" s="7">
        <v>16</v>
      </c>
      <c r="D37">
        <v>2</v>
      </c>
      <c r="E37" t="s">
        <v>65</v>
      </c>
      <c r="F37" t="s">
        <v>61</v>
      </c>
      <c r="G37">
        <v>2</v>
      </c>
      <c r="H37" t="s">
        <v>55</v>
      </c>
      <c r="I37" s="8">
        <v>3.5</v>
      </c>
      <c r="J37">
        <v>1</v>
      </c>
      <c r="K37" s="8">
        <v>3.5</v>
      </c>
      <c r="L37" s="12">
        <v>1</v>
      </c>
      <c r="M37" s="8" t="s">
        <v>34</v>
      </c>
      <c r="N37" t="s">
        <v>97</v>
      </c>
      <c r="O37" s="12">
        <v>12</v>
      </c>
      <c r="P37" s="2">
        <v>2016</v>
      </c>
      <c r="Q37">
        <v>24</v>
      </c>
    </row>
    <row r="38" spans="1:17" x14ac:dyDescent="0.25">
      <c r="A38">
        <v>37</v>
      </c>
      <c r="B38" s="9">
        <v>42728</v>
      </c>
      <c r="C38" s="7">
        <v>16</v>
      </c>
      <c r="D38">
        <v>4</v>
      </c>
      <c r="E38" t="s">
        <v>76</v>
      </c>
      <c r="F38" t="s">
        <v>61</v>
      </c>
      <c r="G38">
        <v>2</v>
      </c>
      <c r="H38" t="s">
        <v>55</v>
      </c>
      <c r="I38" s="8">
        <v>7</v>
      </c>
      <c r="J38">
        <v>1</v>
      </c>
      <c r="K38" s="8">
        <v>7</v>
      </c>
      <c r="L38" s="12">
        <v>1</v>
      </c>
      <c r="M38" s="8" t="s">
        <v>34</v>
      </c>
      <c r="N38" t="s">
        <v>97</v>
      </c>
      <c r="O38" s="12">
        <v>12</v>
      </c>
      <c r="P38" s="2">
        <v>2016</v>
      </c>
      <c r="Q38">
        <v>24</v>
      </c>
    </row>
    <row r="39" spans="1:17" x14ac:dyDescent="0.25">
      <c r="A39">
        <v>38</v>
      </c>
      <c r="B39" s="9">
        <v>42728</v>
      </c>
      <c r="C39" s="7">
        <v>17</v>
      </c>
      <c r="D39">
        <v>2</v>
      </c>
      <c r="E39" t="s">
        <v>65</v>
      </c>
      <c r="F39" t="s">
        <v>61</v>
      </c>
      <c r="G39">
        <v>0</v>
      </c>
      <c r="H39" t="s">
        <v>135</v>
      </c>
      <c r="I39" s="8">
        <v>3.5</v>
      </c>
      <c r="J39">
        <v>1</v>
      </c>
      <c r="K39" s="8">
        <v>3.5</v>
      </c>
      <c r="L39" s="12">
        <v>0</v>
      </c>
      <c r="M39" s="8" t="s">
        <v>136</v>
      </c>
      <c r="N39" t="s">
        <v>97</v>
      </c>
      <c r="O39" s="12">
        <v>12</v>
      </c>
      <c r="P39" s="2">
        <v>2016</v>
      </c>
      <c r="Q39">
        <v>24</v>
      </c>
    </row>
    <row r="40" spans="1:17" x14ac:dyDescent="0.25">
      <c r="A40">
        <v>39</v>
      </c>
      <c r="B40" s="9">
        <v>42728</v>
      </c>
      <c r="C40" s="7">
        <v>17</v>
      </c>
      <c r="D40">
        <v>4</v>
      </c>
      <c r="E40" t="s">
        <v>76</v>
      </c>
      <c r="F40" t="s">
        <v>61</v>
      </c>
      <c r="G40">
        <v>0</v>
      </c>
      <c r="H40" t="s">
        <v>135</v>
      </c>
      <c r="I40" s="8">
        <v>7</v>
      </c>
      <c r="J40">
        <v>1</v>
      </c>
      <c r="K40" s="8">
        <v>7</v>
      </c>
      <c r="L40" s="12">
        <v>0</v>
      </c>
      <c r="M40" s="8" t="s">
        <v>136</v>
      </c>
      <c r="N40" t="s">
        <v>97</v>
      </c>
      <c r="O40" s="12">
        <v>12</v>
      </c>
      <c r="P40" s="2">
        <v>2016</v>
      </c>
      <c r="Q40">
        <v>24</v>
      </c>
    </row>
    <row r="41" spans="1:17" x14ac:dyDescent="0.25">
      <c r="A41">
        <v>40</v>
      </c>
      <c r="B41" s="9">
        <v>42728</v>
      </c>
      <c r="C41" s="7">
        <v>17</v>
      </c>
      <c r="D41">
        <v>4</v>
      </c>
      <c r="E41" t="s">
        <v>76</v>
      </c>
      <c r="F41" t="s">
        <v>61</v>
      </c>
      <c r="G41">
        <v>0</v>
      </c>
      <c r="H41" t="s">
        <v>135</v>
      </c>
      <c r="I41" s="8">
        <v>7</v>
      </c>
      <c r="J41">
        <v>1</v>
      </c>
      <c r="K41" s="8">
        <v>7</v>
      </c>
      <c r="L41" s="12">
        <v>0</v>
      </c>
      <c r="M41" s="8" t="s">
        <v>136</v>
      </c>
      <c r="N41" t="s">
        <v>97</v>
      </c>
      <c r="O41" s="12">
        <v>12</v>
      </c>
      <c r="P41" s="2">
        <v>2016</v>
      </c>
      <c r="Q41">
        <v>24</v>
      </c>
    </row>
    <row r="42" spans="1:17" x14ac:dyDescent="0.25">
      <c r="A42">
        <v>41</v>
      </c>
      <c r="B42" s="9">
        <v>42728</v>
      </c>
      <c r="C42" s="7">
        <v>18</v>
      </c>
      <c r="D42">
        <v>3</v>
      </c>
      <c r="E42" t="s">
        <v>66</v>
      </c>
      <c r="F42" t="s">
        <v>61</v>
      </c>
      <c r="G42">
        <v>3</v>
      </c>
      <c r="H42" t="s">
        <v>59</v>
      </c>
      <c r="I42" s="8">
        <v>3.5</v>
      </c>
      <c r="J42">
        <v>1</v>
      </c>
      <c r="K42" s="8">
        <v>3.5</v>
      </c>
      <c r="L42" s="12">
        <v>1</v>
      </c>
      <c r="M42" s="8" t="s">
        <v>34</v>
      </c>
      <c r="N42" t="s">
        <v>97</v>
      </c>
      <c r="O42" s="12">
        <v>12</v>
      </c>
      <c r="P42" s="2">
        <v>2016</v>
      </c>
      <c r="Q42">
        <v>24</v>
      </c>
    </row>
    <row r="43" spans="1:17" x14ac:dyDescent="0.25">
      <c r="A43">
        <v>42</v>
      </c>
      <c r="B43" s="9">
        <v>42728</v>
      </c>
      <c r="C43" s="7">
        <v>18</v>
      </c>
      <c r="D43">
        <v>3</v>
      </c>
      <c r="E43" t="s">
        <v>66</v>
      </c>
      <c r="F43" t="s">
        <v>61</v>
      </c>
      <c r="G43">
        <v>3</v>
      </c>
      <c r="H43" t="s">
        <v>59</v>
      </c>
      <c r="I43" s="8">
        <v>3.5</v>
      </c>
      <c r="J43">
        <v>3</v>
      </c>
      <c r="K43" s="8">
        <v>10.5</v>
      </c>
      <c r="L43" s="12">
        <v>1</v>
      </c>
      <c r="M43" s="8" t="s">
        <v>34</v>
      </c>
      <c r="N43" t="s">
        <v>97</v>
      </c>
      <c r="O43" s="12">
        <v>12</v>
      </c>
      <c r="P43" s="2">
        <v>2016</v>
      </c>
      <c r="Q43">
        <v>24</v>
      </c>
    </row>
    <row r="44" spans="1:17" x14ac:dyDescent="0.25">
      <c r="A44">
        <v>43</v>
      </c>
      <c r="B44" s="9">
        <v>42728</v>
      </c>
      <c r="C44" s="7">
        <v>19</v>
      </c>
      <c r="D44">
        <v>5</v>
      </c>
      <c r="E44" t="s">
        <v>67</v>
      </c>
      <c r="F44" t="s">
        <v>31</v>
      </c>
      <c r="G44">
        <v>1</v>
      </c>
      <c r="H44" t="s">
        <v>58</v>
      </c>
      <c r="I44" s="8">
        <v>4</v>
      </c>
      <c r="J44">
        <v>1</v>
      </c>
      <c r="K44" s="8">
        <v>4</v>
      </c>
      <c r="L44" s="12">
        <v>3</v>
      </c>
      <c r="M44" s="8" t="s">
        <v>36</v>
      </c>
      <c r="N44" t="s">
        <v>97</v>
      </c>
      <c r="O44" s="12">
        <v>12</v>
      </c>
      <c r="P44" s="2">
        <v>2016</v>
      </c>
      <c r="Q44">
        <v>24</v>
      </c>
    </row>
    <row r="45" spans="1:17" x14ac:dyDescent="0.25">
      <c r="A45">
        <v>44</v>
      </c>
      <c r="B45" s="9">
        <v>42728</v>
      </c>
      <c r="C45" s="7">
        <v>18</v>
      </c>
      <c r="D45">
        <v>3</v>
      </c>
      <c r="E45" t="s">
        <v>66</v>
      </c>
      <c r="F45" t="s">
        <v>61</v>
      </c>
      <c r="G45">
        <v>3</v>
      </c>
      <c r="H45" t="s">
        <v>59</v>
      </c>
      <c r="I45" s="8">
        <v>3.5</v>
      </c>
      <c r="J45">
        <v>1</v>
      </c>
      <c r="K45" s="8">
        <v>3.5</v>
      </c>
      <c r="L45" s="12">
        <v>1</v>
      </c>
      <c r="M45" s="8" t="s">
        <v>34</v>
      </c>
      <c r="N45" t="s">
        <v>97</v>
      </c>
      <c r="O45" s="12">
        <v>12</v>
      </c>
      <c r="P45" s="2">
        <v>2016</v>
      </c>
      <c r="Q45">
        <v>24</v>
      </c>
    </row>
    <row r="46" spans="1:17" x14ac:dyDescent="0.25">
      <c r="A46">
        <v>45</v>
      </c>
      <c r="B46" s="9">
        <v>42728</v>
      </c>
      <c r="C46" s="7">
        <v>19</v>
      </c>
      <c r="D46">
        <v>3</v>
      </c>
      <c r="E46" t="s">
        <v>66</v>
      </c>
      <c r="F46" t="s">
        <v>61</v>
      </c>
      <c r="G46">
        <v>1</v>
      </c>
      <c r="H46" t="s">
        <v>58</v>
      </c>
      <c r="I46" s="8">
        <v>3.5</v>
      </c>
      <c r="J46">
        <v>1</v>
      </c>
      <c r="K46" s="8">
        <v>3.5</v>
      </c>
      <c r="L46" s="12">
        <v>3</v>
      </c>
      <c r="M46" s="8" t="s">
        <v>147</v>
      </c>
      <c r="N46" t="s">
        <v>97</v>
      </c>
      <c r="O46" s="12">
        <v>12</v>
      </c>
      <c r="P46" s="2">
        <v>2016</v>
      </c>
      <c r="Q46">
        <v>24</v>
      </c>
    </row>
    <row r="47" spans="1:17" x14ac:dyDescent="0.25">
      <c r="A47">
        <v>46</v>
      </c>
      <c r="B47" s="9">
        <v>42728</v>
      </c>
      <c r="C47" s="7">
        <v>18</v>
      </c>
      <c r="D47">
        <v>3</v>
      </c>
      <c r="E47" t="s">
        <v>66</v>
      </c>
      <c r="F47" t="s">
        <v>61</v>
      </c>
      <c r="G47">
        <v>3</v>
      </c>
      <c r="H47" t="s">
        <v>59</v>
      </c>
      <c r="I47" s="8">
        <v>3.5</v>
      </c>
      <c r="J47">
        <v>1</v>
      </c>
      <c r="K47" s="8">
        <v>3.5</v>
      </c>
      <c r="L47" s="12">
        <v>1</v>
      </c>
      <c r="M47" s="8" t="s">
        <v>34</v>
      </c>
      <c r="N47" t="s">
        <v>97</v>
      </c>
      <c r="O47" s="12">
        <v>12</v>
      </c>
      <c r="P47" s="2">
        <v>2016</v>
      </c>
      <c r="Q47">
        <v>24</v>
      </c>
    </row>
    <row r="48" spans="1:17" x14ac:dyDescent="0.25">
      <c r="A48">
        <v>47</v>
      </c>
      <c r="B48" s="9">
        <v>42728</v>
      </c>
      <c r="C48" s="7">
        <v>18</v>
      </c>
      <c r="D48">
        <v>3</v>
      </c>
      <c r="E48" t="s">
        <v>66</v>
      </c>
      <c r="F48" t="s">
        <v>61</v>
      </c>
      <c r="G48">
        <v>3</v>
      </c>
      <c r="H48" t="s">
        <v>59</v>
      </c>
      <c r="I48" s="8">
        <v>3.5</v>
      </c>
      <c r="J48">
        <v>1</v>
      </c>
      <c r="K48" s="8">
        <v>3.5</v>
      </c>
      <c r="L48" s="12">
        <v>1</v>
      </c>
      <c r="M48" s="8" t="s">
        <v>34</v>
      </c>
      <c r="N48" t="s">
        <v>97</v>
      </c>
      <c r="O48" s="12">
        <v>12</v>
      </c>
      <c r="P48" s="2">
        <v>2016</v>
      </c>
      <c r="Q48">
        <v>24</v>
      </c>
    </row>
    <row r="49" spans="1:18" x14ac:dyDescent="0.25">
      <c r="A49">
        <v>48</v>
      </c>
      <c r="B49" s="9">
        <v>42728</v>
      </c>
      <c r="C49" s="7">
        <v>18</v>
      </c>
      <c r="D49">
        <v>3</v>
      </c>
      <c r="E49" t="s">
        <v>66</v>
      </c>
      <c r="F49" t="s">
        <v>61</v>
      </c>
      <c r="G49">
        <v>3</v>
      </c>
      <c r="H49" t="s">
        <v>59</v>
      </c>
      <c r="I49" s="8">
        <v>3.5</v>
      </c>
      <c r="J49">
        <v>1</v>
      </c>
      <c r="K49" s="8">
        <v>3.5</v>
      </c>
      <c r="L49" s="12">
        <v>1</v>
      </c>
      <c r="M49" s="8" t="s">
        <v>34</v>
      </c>
      <c r="N49" t="s">
        <v>97</v>
      </c>
      <c r="O49" s="12">
        <v>12</v>
      </c>
      <c r="P49" s="2">
        <v>2016</v>
      </c>
      <c r="Q49">
        <v>24</v>
      </c>
    </row>
    <row r="50" spans="1:18" x14ac:dyDescent="0.25">
      <c r="A50">
        <v>49</v>
      </c>
      <c r="B50" s="9">
        <v>42728</v>
      </c>
      <c r="C50" s="7">
        <v>18</v>
      </c>
      <c r="D50">
        <v>3</v>
      </c>
      <c r="E50" t="s">
        <v>66</v>
      </c>
      <c r="F50" t="s">
        <v>61</v>
      </c>
      <c r="G50">
        <v>3</v>
      </c>
      <c r="H50" t="s">
        <v>59</v>
      </c>
      <c r="I50" s="8">
        <v>3.5</v>
      </c>
      <c r="J50">
        <v>1</v>
      </c>
      <c r="K50" s="8">
        <v>3.5</v>
      </c>
      <c r="L50" s="12">
        <v>1</v>
      </c>
      <c r="M50" s="8" t="s">
        <v>34</v>
      </c>
      <c r="N50" t="s">
        <v>97</v>
      </c>
      <c r="O50" s="12">
        <v>12</v>
      </c>
      <c r="P50" s="2">
        <v>2016</v>
      </c>
      <c r="Q50">
        <v>24</v>
      </c>
    </row>
    <row r="51" spans="1:18" x14ac:dyDescent="0.25">
      <c r="A51">
        <v>50</v>
      </c>
      <c r="B51" s="9">
        <v>42728</v>
      </c>
      <c r="C51" s="7">
        <v>18</v>
      </c>
      <c r="D51">
        <v>3</v>
      </c>
      <c r="E51" t="s">
        <v>66</v>
      </c>
      <c r="F51" t="s">
        <v>61</v>
      </c>
      <c r="G51">
        <v>3</v>
      </c>
      <c r="H51" t="s">
        <v>59</v>
      </c>
      <c r="I51" s="8">
        <v>3.5</v>
      </c>
      <c r="J51">
        <v>1</v>
      </c>
      <c r="K51" s="8">
        <v>3.5</v>
      </c>
      <c r="L51" s="12">
        <v>1</v>
      </c>
      <c r="M51" s="8" t="s">
        <v>34</v>
      </c>
      <c r="N51" t="s">
        <v>97</v>
      </c>
      <c r="O51" s="12">
        <v>12</v>
      </c>
      <c r="P51" s="2">
        <v>2016</v>
      </c>
      <c r="Q51">
        <v>24</v>
      </c>
    </row>
    <row r="52" spans="1:18" x14ac:dyDescent="0.25">
      <c r="A52">
        <v>51</v>
      </c>
      <c r="B52" s="9">
        <v>42728</v>
      </c>
      <c r="C52" s="7">
        <v>18</v>
      </c>
      <c r="D52">
        <v>2</v>
      </c>
      <c r="E52" t="s">
        <v>65</v>
      </c>
      <c r="F52" t="s">
        <v>61</v>
      </c>
      <c r="G52">
        <v>3</v>
      </c>
      <c r="H52" t="s">
        <v>59</v>
      </c>
      <c r="I52" s="8">
        <v>3.5</v>
      </c>
      <c r="J52">
        <v>1</v>
      </c>
      <c r="K52" s="8">
        <v>3.5</v>
      </c>
      <c r="L52" s="12">
        <v>1</v>
      </c>
      <c r="M52" s="8" t="s">
        <v>34</v>
      </c>
      <c r="N52" t="s">
        <v>97</v>
      </c>
      <c r="O52" s="12">
        <v>12</v>
      </c>
      <c r="P52" s="2">
        <v>2016</v>
      </c>
      <c r="Q52">
        <v>24</v>
      </c>
    </row>
    <row r="53" spans="1:18" x14ac:dyDescent="0.25">
      <c r="A53">
        <v>52</v>
      </c>
      <c r="B53" s="9">
        <v>42728</v>
      </c>
      <c r="C53" s="7">
        <v>18</v>
      </c>
      <c r="D53">
        <v>5</v>
      </c>
      <c r="E53" t="s">
        <v>67</v>
      </c>
      <c r="F53" t="s">
        <v>31</v>
      </c>
      <c r="G53">
        <v>3</v>
      </c>
      <c r="H53" t="s">
        <v>59</v>
      </c>
      <c r="I53" s="8">
        <v>4</v>
      </c>
      <c r="J53">
        <v>1</v>
      </c>
      <c r="K53" s="8">
        <v>4</v>
      </c>
      <c r="L53" s="12">
        <v>1</v>
      </c>
      <c r="M53" s="8" t="s">
        <v>34</v>
      </c>
      <c r="N53" t="s">
        <v>97</v>
      </c>
      <c r="O53" s="12">
        <v>12</v>
      </c>
      <c r="P53" s="2">
        <v>2016</v>
      </c>
      <c r="Q53">
        <v>24</v>
      </c>
      <c r="R53" s="36">
        <v>0.43873842592592593</v>
      </c>
    </row>
    <row r="54" spans="1:18" x14ac:dyDescent="0.25">
      <c r="A54">
        <v>53</v>
      </c>
      <c r="B54" s="9">
        <v>42728</v>
      </c>
      <c r="C54" s="7">
        <v>19</v>
      </c>
      <c r="D54">
        <v>3</v>
      </c>
      <c r="E54" t="s">
        <v>66</v>
      </c>
      <c r="F54" t="s">
        <v>61</v>
      </c>
      <c r="G54">
        <v>1</v>
      </c>
      <c r="H54" t="s">
        <v>58</v>
      </c>
      <c r="I54" s="8">
        <v>3.5</v>
      </c>
      <c r="J54">
        <v>1</v>
      </c>
      <c r="K54" s="8">
        <v>3.5</v>
      </c>
      <c r="L54" s="12">
        <v>3</v>
      </c>
      <c r="M54" s="8" t="s">
        <v>147</v>
      </c>
      <c r="N54" t="s">
        <v>97</v>
      </c>
      <c r="O54" s="12">
        <v>12</v>
      </c>
      <c r="P54" s="2">
        <v>2016</v>
      </c>
      <c r="Q54">
        <v>24</v>
      </c>
      <c r="R54" s="36">
        <v>0.43947916666666664</v>
      </c>
    </row>
    <row r="55" spans="1:18" x14ac:dyDescent="0.25">
      <c r="A55">
        <v>54</v>
      </c>
      <c r="B55" s="9">
        <v>42728</v>
      </c>
      <c r="C55" s="7">
        <v>18</v>
      </c>
      <c r="D55">
        <v>5</v>
      </c>
      <c r="E55" t="s">
        <v>67</v>
      </c>
      <c r="F55" t="s">
        <v>31</v>
      </c>
      <c r="G55">
        <v>3</v>
      </c>
      <c r="H55" t="s">
        <v>59</v>
      </c>
      <c r="I55" s="8">
        <v>4</v>
      </c>
      <c r="J55">
        <v>1</v>
      </c>
      <c r="K55" s="8">
        <v>4</v>
      </c>
      <c r="L55" s="12">
        <v>1</v>
      </c>
      <c r="M55" s="8" t="s">
        <v>34</v>
      </c>
      <c r="N55" t="s">
        <v>97</v>
      </c>
      <c r="O55" s="12">
        <v>12</v>
      </c>
      <c r="P55" s="2">
        <v>2016</v>
      </c>
      <c r="Q55">
        <v>24</v>
      </c>
      <c r="R55" s="36">
        <v>0.44331018518518522</v>
      </c>
    </row>
    <row r="56" spans="1:18" x14ac:dyDescent="0.25">
      <c r="A56">
        <v>55</v>
      </c>
      <c r="B56" s="9">
        <v>42728</v>
      </c>
      <c r="C56" s="7">
        <v>20</v>
      </c>
      <c r="D56">
        <v>22</v>
      </c>
      <c r="E56" t="s">
        <v>85</v>
      </c>
      <c r="F56" t="s">
        <v>32</v>
      </c>
      <c r="G56">
        <v>0</v>
      </c>
      <c r="H56" t="s">
        <v>135</v>
      </c>
      <c r="I56" s="8">
        <v>80</v>
      </c>
      <c r="J56">
        <v>1</v>
      </c>
      <c r="K56" s="8">
        <v>80</v>
      </c>
      <c r="L56" s="12">
        <v>0</v>
      </c>
      <c r="M56" s="8" t="s">
        <v>136</v>
      </c>
      <c r="N56" t="s">
        <v>97</v>
      </c>
      <c r="O56" s="12">
        <v>12</v>
      </c>
      <c r="P56" s="2">
        <v>2016</v>
      </c>
      <c r="Q56">
        <v>24</v>
      </c>
    </row>
    <row r="57" spans="1:18" x14ac:dyDescent="0.25">
      <c r="A57">
        <v>56</v>
      </c>
      <c r="B57" s="9">
        <v>42728</v>
      </c>
      <c r="C57" s="7">
        <v>20</v>
      </c>
      <c r="D57">
        <v>22</v>
      </c>
      <c r="E57" t="s">
        <v>85</v>
      </c>
      <c r="F57" t="s">
        <v>32</v>
      </c>
      <c r="G57">
        <v>0</v>
      </c>
      <c r="H57" t="s">
        <v>135</v>
      </c>
      <c r="I57" s="8">
        <v>80</v>
      </c>
      <c r="J57">
        <v>1</v>
      </c>
      <c r="K57" s="8">
        <v>80</v>
      </c>
      <c r="L57" s="12">
        <v>0</v>
      </c>
      <c r="M57" s="8" t="s">
        <v>136</v>
      </c>
      <c r="N57" t="s">
        <v>97</v>
      </c>
      <c r="O57" s="12">
        <v>12</v>
      </c>
      <c r="P57" s="2">
        <v>2016</v>
      </c>
      <c r="Q57">
        <v>24</v>
      </c>
      <c r="R57" s="36">
        <v>0.44572916666666668</v>
      </c>
    </row>
    <row r="58" spans="1:18" x14ac:dyDescent="0.25">
      <c r="A58">
        <v>57</v>
      </c>
      <c r="B58" s="9">
        <v>42728</v>
      </c>
      <c r="C58" s="7">
        <v>20</v>
      </c>
      <c r="D58">
        <v>23</v>
      </c>
      <c r="E58" t="s">
        <v>86</v>
      </c>
      <c r="F58" t="s">
        <v>32</v>
      </c>
      <c r="G58">
        <v>0</v>
      </c>
      <c r="H58" t="s">
        <v>135</v>
      </c>
      <c r="I58" s="8">
        <v>80</v>
      </c>
      <c r="J58">
        <v>1</v>
      </c>
      <c r="K58" s="8">
        <v>80</v>
      </c>
      <c r="L58" s="12">
        <v>0</v>
      </c>
      <c r="M58" s="8" t="s">
        <v>136</v>
      </c>
      <c r="N58" t="s">
        <v>97</v>
      </c>
      <c r="O58" s="12">
        <v>12</v>
      </c>
      <c r="P58" s="2">
        <v>2016</v>
      </c>
      <c r="Q58">
        <v>24</v>
      </c>
      <c r="R58" s="36">
        <v>0.4463078703703704</v>
      </c>
    </row>
    <row r="59" spans="1:18" x14ac:dyDescent="0.25">
      <c r="A59">
        <v>58</v>
      </c>
      <c r="B59" s="9">
        <v>42728</v>
      </c>
      <c r="C59" s="7">
        <v>21</v>
      </c>
      <c r="D59">
        <v>3</v>
      </c>
      <c r="E59" t="s">
        <v>66</v>
      </c>
      <c r="F59" t="s">
        <v>61</v>
      </c>
      <c r="G59">
        <v>0</v>
      </c>
      <c r="H59" t="s">
        <v>135</v>
      </c>
      <c r="I59" s="8">
        <v>3.5</v>
      </c>
      <c r="J59">
        <v>1</v>
      </c>
      <c r="K59" s="8">
        <v>3.5</v>
      </c>
      <c r="L59" s="12">
        <v>0</v>
      </c>
      <c r="M59" s="8" t="s">
        <v>136</v>
      </c>
      <c r="N59" t="s">
        <v>97</v>
      </c>
      <c r="O59" s="12">
        <v>12</v>
      </c>
      <c r="P59" s="2">
        <v>2016</v>
      </c>
      <c r="Q59">
        <v>24</v>
      </c>
      <c r="R59" s="36">
        <v>0.5159259259259259</v>
      </c>
    </row>
    <row r="60" spans="1:18" x14ac:dyDescent="0.25">
      <c r="A60">
        <v>59</v>
      </c>
      <c r="B60" s="9">
        <v>42728</v>
      </c>
      <c r="C60" s="7">
        <v>22</v>
      </c>
      <c r="D60">
        <v>3</v>
      </c>
      <c r="E60" t="s">
        <v>66</v>
      </c>
      <c r="F60" t="s">
        <v>61</v>
      </c>
      <c r="G60">
        <v>0</v>
      </c>
      <c r="H60" t="s">
        <v>135</v>
      </c>
      <c r="I60" s="8">
        <v>3.5</v>
      </c>
      <c r="J60">
        <v>1</v>
      </c>
      <c r="K60" s="8">
        <v>3.5</v>
      </c>
      <c r="L60" s="12">
        <v>0</v>
      </c>
      <c r="M60" s="8" t="s">
        <v>136</v>
      </c>
      <c r="N60" t="s">
        <v>97</v>
      </c>
      <c r="O60" s="12">
        <v>12</v>
      </c>
      <c r="P60" s="2">
        <v>2016</v>
      </c>
      <c r="Q60">
        <v>24</v>
      </c>
      <c r="R60" s="36">
        <v>0.51785879629629628</v>
      </c>
    </row>
    <row r="61" spans="1:18" x14ac:dyDescent="0.25">
      <c r="A61">
        <v>60</v>
      </c>
      <c r="B61" s="9">
        <v>42728</v>
      </c>
      <c r="C61" s="7">
        <v>22</v>
      </c>
      <c r="D61">
        <v>4</v>
      </c>
      <c r="E61" t="s">
        <v>76</v>
      </c>
      <c r="F61" t="s">
        <v>61</v>
      </c>
      <c r="G61">
        <v>0</v>
      </c>
      <c r="H61" t="s">
        <v>135</v>
      </c>
      <c r="I61" s="8">
        <v>7</v>
      </c>
      <c r="J61">
        <v>1</v>
      </c>
      <c r="K61" s="8">
        <v>7</v>
      </c>
      <c r="L61" s="12">
        <v>0</v>
      </c>
      <c r="M61" s="8" t="s">
        <v>136</v>
      </c>
      <c r="N61" t="s">
        <v>97</v>
      </c>
      <c r="O61" s="12">
        <v>12</v>
      </c>
      <c r="P61" s="2">
        <v>2016</v>
      </c>
      <c r="Q61">
        <v>24</v>
      </c>
      <c r="R61" s="36">
        <v>0.51785879629629628</v>
      </c>
    </row>
    <row r="62" spans="1:18" x14ac:dyDescent="0.25">
      <c r="A62">
        <v>61</v>
      </c>
      <c r="B62" s="9">
        <v>42728</v>
      </c>
      <c r="C62" s="7">
        <v>23</v>
      </c>
      <c r="D62">
        <v>5</v>
      </c>
      <c r="E62" t="s">
        <v>67</v>
      </c>
      <c r="F62" t="s">
        <v>31</v>
      </c>
      <c r="G62">
        <v>0</v>
      </c>
      <c r="H62" t="s">
        <v>135</v>
      </c>
      <c r="I62" s="8">
        <v>4</v>
      </c>
      <c r="J62">
        <v>1</v>
      </c>
      <c r="K62" s="8">
        <v>4</v>
      </c>
      <c r="L62" s="12">
        <v>0</v>
      </c>
      <c r="M62" s="8" t="s">
        <v>136</v>
      </c>
      <c r="N62" t="s">
        <v>97</v>
      </c>
      <c r="O62" s="12">
        <v>12</v>
      </c>
      <c r="P62" s="2">
        <v>2016</v>
      </c>
      <c r="Q62">
        <v>24</v>
      </c>
      <c r="R62" s="36">
        <v>0.51943287037037034</v>
      </c>
    </row>
    <row r="63" spans="1:18" x14ac:dyDescent="0.25">
      <c r="A63">
        <v>62</v>
      </c>
      <c r="B63" s="9">
        <v>42728</v>
      </c>
      <c r="C63" s="7">
        <v>23</v>
      </c>
      <c r="D63">
        <v>4</v>
      </c>
      <c r="E63" t="s">
        <v>76</v>
      </c>
      <c r="F63" t="s">
        <v>61</v>
      </c>
      <c r="G63">
        <v>0</v>
      </c>
      <c r="H63" t="s">
        <v>135</v>
      </c>
      <c r="I63" s="8">
        <v>7</v>
      </c>
      <c r="J63">
        <v>1</v>
      </c>
      <c r="K63" s="8">
        <v>7</v>
      </c>
      <c r="L63" s="12">
        <v>0</v>
      </c>
      <c r="M63" s="8" t="s">
        <v>136</v>
      </c>
      <c r="N63" t="s">
        <v>97</v>
      </c>
      <c r="O63" s="12">
        <v>12</v>
      </c>
      <c r="P63" s="2">
        <v>2016</v>
      </c>
      <c r="Q63">
        <v>24</v>
      </c>
      <c r="R63" s="36">
        <v>0.51943287037037034</v>
      </c>
    </row>
    <row r="64" spans="1:18" x14ac:dyDescent="0.25">
      <c r="A64">
        <v>63</v>
      </c>
      <c r="B64" s="9">
        <v>42728</v>
      </c>
      <c r="C64" s="7">
        <v>24</v>
      </c>
      <c r="D64">
        <v>2</v>
      </c>
      <c r="E64" t="s">
        <v>65</v>
      </c>
      <c r="F64" t="s">
        <v>61</v>
      </c>
      <c r="G64">
        <v>0</v>
      </c>
      <c r="H64" t="s">
        <v>135</v>
      </c>
      <c r="I64" s="8">
        <v>3.5</v>
      </c>
      <c r="J64">
        <v>1</v>
      </c>
      <c r="K64" s="8">
        <v>3.5</v>
      </c>
      <c r="L64" s="12">
        <v>0</v>
      </c>
      <c r="M64" s="8" t="s">
        <v>136</v>
      </c>
      <c r="N64" t="s">
        <v>97</v>
      </c>
      <c r="O64" s="12">
        <v>12</v>
      </c>
      <c r="P64" s="2">
        <v>2016</v>
      </c>
      <c r="Q64">
        <v>24</v>
      </c>
      <c r="R64" s="36">
        <v>0.5239583333333333</v>
      </c>
    </row>
    <row r="65" spans="1:18" x14ac:dyDescent="0.25">
      <c r="A65">
        <v>64</v>
      </c>
      <c r="B65" s="9">
        <v>42728</v>
      </c>
      <c r="C65" s="7">
        <v>24</v>
      </c>
      <c r="D65">
        <v>17</v>
      </c>
      <c r="E65" t="s">
        <v>73</v>
      </c>
      <c r="F65" t="s">
        <v>63</v>
      </c>
      <c r="G65">
        <v>0</v>
      </c>
      <c r="H65" t="s">
        <v>135</v>
      </c>
      <c r="I65" s="8">
        <v>15</v>
      </c>
      <c r="J65">
        <v>3</v>
      </c>
      <c r="K65" s="8">
        <v>45</v>
      </c>
      <c r="L65" s="12">
        <v>0</v>
      </c>
      <c r="M65" s="8" t="s">
        <v>136</v>
      </c>
      <c r="N65" t="s">
        <v>97</v>
      </c>
      <c r="O65" s="12">
        <v>12</v>
      </c>
      <c r="P65" s="2">
        <v>2016</v>
      </c>
      <c r="Q65">
        <v>24</v>
      </c>
      <c r="R65" s="36">
        <v>0.5239583333333333</v>
      </c>
    </row>
    <row r="66" spans="1:18" x14ac:dyDescent="0.25">
      <c r="A66">
        <v>65</v>
      </c>
      <c r="B66" s="9">
        <v>42728</v>
      </c>
      <c r="C66" s="7">
        <v>25</v>
      </c>
      <c r="D66">
        <v>2</v>
      </c>
      <c r="E66" t="s">
        <v>65</v>
      </c>
      <c r="F66" t="s">
        <v>61</v>
      </c>
      <c r="G66">
        <v>0</v>
      </c>
      <c r="H66" t="s">
        <v>135</v>
      </c>
      <c r="I66" s="8">
        <v>3.5</v>
      </c>
      <c r="J66">
        <v>1</v>
      </c>
      <c r="K66" s="8">
        <v>3.5</v>
      </c>
      <c r="L66" s="12">
        <v>0</v>
      </c>
      <c r="M66" s="8" t="s">
        <v>136</v>
      </c>
      <c r="N66" t="s">
        <v>97</v>
      </c>
      <c r="O66" s="12">
        <v>12</v>
      </c>
      <c r="P66" s="2">
        <v>2016</v>
      </c>
      <c r="Q66">
        <v>24</v>
      </c>
      <c r="R66" s="36">
        <v>0.52459490740740744</v>
      </c>
    </row>
    <row r="67" spans="1:18" x14ac:dyDescent="0.25">
      <c r="A67">
        <v>66</v>
      </c>
      <c r="B67" s="9">
        <v>42728</v>
      </c>
      <c r="C67" s="7">
        <v>25</v>
      </c>
      <c r="D67">
        <v>3</v>
      </c>
      <c r="E67" t="s">
        <v>66</v>
      </c>
      <c r="F67" t="s">
        <v>61</v>
      </c>
      <c r="G67">
        <v>0</v>
      </c>
      <c r="H67" t="s">
        <v>135</v>
      </c>
      <c r="I67" s="8">
        <v>3.5</v>
      </c>
      <c r="J67">
        <v>1</v>
      </c>
      <c r="K67" s="8">
        <v>3.5</v>
      </c>
      <c r="L67" s="12">
        <v>0</v>
      </c>
      <c r="M67" s="8" t="s">
        <v>136</v>
      </c>
      <c r="N67" t="s">
        <v>97</v>
      </c>
      <c r="O67" s="12">
        <v>12</v>
      </c>
      <c r="P67" s="2">
        <v>2016</v>
      </c>
      <c r="Q67">
        <v>24</v>
      </c>
      <c r="R67" s="36">
        <v>0.52459490740740744</v>
      </c>
    </row>
    <row r="68" spans="1:18" x14ac:dyDescent="0.25">
      <c r="A68">
        <v>67</v>
      </c>
      <c r="B68" s="9">
        <v>42728</v>
      </c>
      <c r="C68" s="7">
        <v>26</v>
      </c>
      <c r="D68">
        <v>1</v>
      </c>
      <c r="E68" t="s">
        <v>64</v>
      </c>
      <c r="F68" t="s">
        <v>61</v>
      </c>
      <c r="G68">
        <v>0</v>
      </c>
      <c r="H68" t="s">
        <v>135</v>
      </c>
      <c r="I68" s="8">
        <v>3.5</v>
      </c>
      <c r="J68">
        <v>1</v>
      </c>
      <c r="K68" s="8">
        <v>3.5</v>
      </c>
      <c r="L68" s="12">
        <v>0</v>
      </c>
      <c r="M68" s="8" t="s">
        <v>136</v>
      </c>
      <c r="N68" t="s">
        <v>97</v>
      </c>
      <c r="O68" s="12">
        <v>12</v>
      </c>
      <c r="P68" s="2">
        <v>2016</v>
      </c>
      <c r="Q68">
        <v>24</v>
      </c>
    </row>
    <row r="69" spans="1:18" x14ac:dyDescent="0.25">
      <c r="A69">
        <v>68</v>
      </c>
      <c r="B69" s="9">
        <v>42728</v>
      </c>
      <c r="C69" s="7">
        <v>26</v>
      </c>
      <c r="D69">
        <v>3</v>
      </c>
      <c r="E69" t="s">
        <v>66</v>
      </c>
      <c r="F69" t="s">
        <v>61</v>
      </c>
      <c r="G69">
        <v>0</v>
      </c>
      <c r="H69" t="s">
        <v>135</v>
      </c>
      <c r="I69" s="8">
        <v>3.5</v>
      </c>
      <c r="J69">
        <v>1</v>
      </c>
      <c r="K69" s="8">
        <v>3.5</v>
      </c>
      <c r="L69" s="12">
        <v>0</v>
      </c>
      <c r="M69" s="8" t="s">
        <v>136</v>
      </c>
      <c r="N69" t="s">
        <v>97</v>
      </c>
      <c r="O69" s="12">
        <v>12</v>
      </c>
      <c r="P69" s="2">
        <v>2016</v>
      </c>
      <c r="Q69">
        <v>24</v>
      </c>
      <c r="R69" s="36">
        <v>0.52517361111111105</v>
      </c>
    </row>
    <row r="70" spans="1:18" x14ac:dyDescent="0.25">
      <c r="A70">
        <v>69</v>
      </c>
      <c r="B70" s="9">
        <v>42728</v>
      </c>
      <c r="C70" s="7">
        <v>27</v>
      </c>
      <c r="D70">
        <v>2</v>
      </c>
      <c r="E70" t="s">
        <v>65</v>
      </c>
      <c r="F70" t="s">
        <v>61</v>
      </c>
      <c r="G70">
        <v>0</v>
      </c>
      <c r="H70" t="s">
        <v>135</v>
      </c>
      <c r="I70" s="8">
        <v>3.5</v>
      </c>
      <c r="J70">
        <v>1</v>
      </c>
      <c r="K70" s="8">
        <v>3.5</v>
      </c>
      <c r="L70" s="12">
        <v>0</v>
      </c>
      <c r="M70" s="8" t="s">
        <v>136</v>
      </c>
      <c r="N70" t="s">
        <v>97</v>
      </c>
      <c r="O70" s="12">
        <v>12</v>
      </c>
      <c r="P70" s="2">
        <v>2016</v>
      </c>
      <c r="Q70">
        <v>24</v>
      </c>
      <c r="R70" s="36">
        <v>0.55238425925925927</v>
      </c>
    </row>
    <row r="71" spans="1:18" x14ac:dyDescent="0.25">
      <c r="A71">
        <v>70</v>
      </c>
      <c r="B71" s="9">
        <v>42728</v>
      </c>
      <c r="C71" s="7">
        <v>28</v>
      </c>
      <c r="D71">
        <v>4</v>
      </c>
      <c r="E71" t="s">
        <v>76</v>
      </c>
      <c r="F71" t="s">
        <v>61</v>
      </c>
      <c r="G71">
        <v>0</v>
      </c>
      <c r="H71" t="s">
        <v>135</v>
      </c>
      <c r="I71" s="8">
        <v>7</v>
      </c>
      <c r="J71">
        <v>4</v>
      </c>
      <c r="K71" s="8">
        <v>28</v>
      </c>
      <c r="L71" s="12">
        <v>0</v>
      </c>
      <c r="M71" s="8" t="s">
        <v>136</v>
      </c>
      <c r="N71" t="s">
        <v>97</v>
      </c>
      <c r="O71" s="12">
        <v>12</v>
      </c>
      <c r="P71" s="2">
        <v>2016</v>
      </c>
      <c r="Q71">
        <v>24</v>
      </c>
      <c r="R71" s="36">
        <v>0.55361111111111116</v>
      </c>
    </row>
    <row r="72" spans="1:18" x14ac:dyDescent="0.25">
      <c r="A72">
        <v>71</v>
      </c>
      <c r="B72" s="9">
        <v>42728</v>
      </c>
      <c r="C72" s="7">
        <v>29</v>
      </c>
      <c r="D72">
        <v>24</v>
      </c>
      <c r="E72" t="s">
        <v>87</v>
      </c>
      <c r="F72" t="s">
        <v>33</v>
      </c>
      <c r="G72">
        <v>0</v>
      </c>
      <c r="H72" t="s">
        <v>135</v>
      </c>
      <c r="I72" s="8">
        <v>60</v>
      </c>
      <c r="J72">
        <v>1</v>
      </c>
      <c r="K72" s="8">
        <v>60</v>
      </c>
      <c r="L72" s="12">
        <v>0</v>
      </c>
      <c r="M72" s="8" t="s">
        <v>136</v>
      </c>
      <c r="N72" t="s">
        <v>97</v>
      </c>
      <c r="O72" s="12">
        <v>12</v>
      </c>
      <c r="P72" s="2">
        <v>2016</v>
      </c>
      <c r="Q72">
        <v>24</v>
      </c>
      <c r="R72" s="36">
        <v>0.5575</v>
      </c>
    </row>
    <row r="73" spans="1:18" x14ac:dyDescent="0.25">
      <c r="A73">
        <v>72</v>
      </c>
      <c r="B73" s="9">
        <v>42728</v>
      </c>
      <c r="C73" s="7">
        <v>30</v>
      </c>
      <c r="D73">
        <v>1</v>
      </c>
      <c r="E73" t="s">
        <v>64</v>
      </c>
      <c r="F73" t="s">
        <v>61</v>
      </c>
      <c r="G73">
        <v>2</v>
      </c>
      <c r="H73" t="s">
        <v>55</v>
      </c>
      <c r="I73" s="8">
        <v>3.5</v>
      </c>
      <c r="J73">
        <v>1</v>
      </c>
      <c r="K73" s="8">
        <v>3.5</v>
      </c>
      <c r="L73" s="12">
        <v>2</v>
      </c>
      <c r="M73" s="8" t="s">
        <v>35</v>
      </c>
      <c r="N73" t="s">
        <v>97</v>
      </c>
      <c r="O73" s="12">
        <v>12</v>
      </c>
      <c r="P73" s="2">
        <v>2016</v>
      </c>
      <c r="Q73">
        <v>24</v>
      </c>
    </row>
    <row r="74" spans="1:18" x14ac:dyDescent="0.25">
      <c r="A74">
        <v>73</v>
      </c>
      <c r="B74" s="9">
        <v>42728</v>
      </c>
      <c r="C74" s="7">
        <v>30</v>
      </c>
      <c r="D74">
        <v>2</v>
      </c>
      <c r="E74" t="s">
        <v>65</v>
      </c>
      <c r="F74" t="s">
        <v>61</v>
      </c>
      <c r="G74">
        <v>2</v>
      </c>
      <c r="H74" t="s">
        <v>55</v>
      </c>
      <c r="I74" s="8">
        <v>3.5</v>
      </c>
      <c r="J74">
        <v>1</v>
      </c>
      <c r="K74" s="8">
        <v>3.5</v>
      </c>
      <c r="L74" s="12">
        <v>2</v>
      </c>
      <c r="M74" s="8" t="s">
        <v>35</v>
      </c>
      <c r="N74" t="s">
        <v>97</v>
      </c>
      <c r="O74" s="12">
        <v>12</v>
      </c>
      <c r="P74" s="2">
        <v>2016</v>
      </c>
      <c r="Q74">
        <v>24</v>
      </c>
      <c r="R74" s="36">
        <v>0.66724537037037035</v>
      </c>
    </row>
    <row r="75" spans="1:18" x14ac:dyDescent="0.25">
      <c r="A75">
        <v>74</v>
      </c>
      <c r="B75" s="9">
        <v>42728</v>
      </c>
      <c r="C75" s="7">
        <v>31</v>
      </c>
      <c r="D75">
        <v>3</v>
      </c>
      <c r="E75" t="s">
        <v>66</v>
      </c>
      <c r="F75" t="s">
        <v>61</v>
      </c>
      <c r="G75">
        <v>1</v>
      </c>
      <c r="H75" t="s">
        <v>58</v>
      </c>
      <c r="I75" s="8">
        <v>3.5</v>
      </c>
      <c r="J75">
        <v>2</v>
      </c>
      <c r="K75" s="8">
        <v>7</v>
      </c>
      <c r="L75" s="12">
        <v>3</v>
      </c>
      <c r="M75" s="8" t="s">
        <v>36</v>
      </c>
      <c r="N75" t="s">
        <v>97</v>
      </c>
      <c r="O75" s="12">
        <v>12</v>
      </c>
      <c r="P75" s="2">
        <v>2016</v>
      </c>
      <c r="Q75">
        <v>24</v>
      </c>
    </row>
    <row r="76" spans="1:18" x14ac:dyDescent="0.25">
      <c r="A76">
        <v>75</v>
      </c>
      <c r="B76" s="9">
        <v>42728</v>
      </c>
      <c r="C76" s="7">
        <v>31</v>
      </c>
      <c r="D76">
        <v>2</v>
      </c>
      <c r="E76" t="s">
        <v>65</v>
      </c>
      <c r="F76" t="s">
        <v>61</v>
      </c>
      <c r="G76">
        <v>1</v>
      </c>
      <c r="H76" t="s">
        <v>58</v>
      </c>
      <c r="I76" s="8">
        <v>3.5</v>
      </c>
      <c r="J76">
        <v>3</v>
      </c>
      <c r="K76" s="8">
        <v>10.5</v>
      </c>
      <c r="L76" s="12">
        <v>3</v>
      </c>
      <c r="M76" s="8" t="s">
        <v>36</v>
      </c>
      <c r="N76" t="s">
        <v>97</v>
      </c>
      <c r="O76" s="12">
        <v>12</v>
      </c>
      <c r="P76" s="2">
        <v>2016</v>
      </c>
      <c r="Q76">
        <v>24</v>
      </c>
      <c r="R76" s="36">
        <v>0.66781250000000003</v>
      </c>
    </row>
    <row r="77" spans="1:18" x14ac:dyDescent="0.25">
      <c r="A77">
        <v>76</v>
      </c>
      <c r="B77" s="9">
        <v>42728</v>
      </c>
      <c r="C77" s="7">
        <v>31</v>
      </c>
      <c r="D77">
        <v>2</v>
      </c>
      <c r="E77" t="s">
        <v>65</v>
      </c>
      <c r="F77" t="s">
        <v>61</v>
      </c>
      <c r="G77">
        <v>1</v>
      </c>
      <c r="H77" t="s">
        <v>58</v>
      </c>
      <c r="I77" s="8">
        <v>3.5</v>
      </c>
      <c r="J77">
        <v>2</v>
      </c>
      <c r="K77" s="8">
        <v>7</v>
      </c>
      <c r="L77" s="12">
        <v>3</v>
      </c>
      <c r="M77" s="8" t="s">
        <v>36</v>
      </c>
      <c r="N77" t="s">
        <v>97</v>
      </c>
      <c r="O77" s="12">
        <v>12</v>
      </c>
      <c r="P77" s="2">
        <v>2016</v>
      </c>
      <c r="Q77">
        <v>24</v>
      </c>
      <c r="R77" s="36">
        <v>0.66781250000000003</v>
      </c>
    </row>
    <row r="78" spans="1:18" x14ac:dyDescent="0.25">
      <c r="A78">
        <v>77</v>
      </c>
      <c r="B78" s="9">
        <v>42728</v>
      </c>
      <c r="C78" s="7">
        <v>30</v>
      </c>
      <c r="D78">
        <v>4</v>
      </c>
      <c r="E78" t="s">
        <v>76</v>
      </c>
      <c r="F78" t="s">
        <v>61</v>
      </c>
      <c r="G78">
        <v>2</v>
      </c>
      <c r="H78" t="s">
        <v>55</v>
      </c>
      <c r="I78" s="8">
        <v>7</v>
      </c>
      <c r="J78">
        <v>1</v>
      </c>
      <c r="K78" s="8">
        <v>7</v>
      </c>
      <c r="L78" s="12">
        <v>2</v>
      </c>
      <c r="M78" s="8" t="s">
        <v>143</v>
      </c>
      <c r="N78" t="s">
        <v>97</v>
      </c>
      <c r="O78" s="12">
        <v>12</v>
      </c>
      <c r="P78" s="2">
        <v>2016</v>
      </c>
      <c r="Q78">
        <v>24</v>
      </c>
      <c r="R78" s="36">
        <v>0.66991898148148143</v>
      </c>
    </row>
    <row r="79" spans="1:18" x14ac:dyDescent="0.25">
      <c r="A79">
        <v>78</v>
      </c>
      <c r="B79" s="9">
        <v>42728</v>
      </c>
      <c r="C79" s="7">
        <v>32</v>
      </c>
      <c r="D79">
        <v>22</v>
      </c>
      <c r="E79" t="s">
        <v>85</v>
      </c>
      <c r="F79" t="s">
        <v>32</v>
      </c>
      <c r="G79">
        <v>1</v>
      </c>
      <c r="H79" t="s">
        <v>58</v>
      </c>
      <c r="I79" s="8">
        <v>80</v>
      </c>
      <c r="J79">
        <v>1</v>
      </c>
      <c r="K79" s="8">
        <v>80</v>
      </c>
      <c r="L79" s="12">
        <v>2</v>
      </c>
      <c r="M79" s="8" t="s">
        <v>35</v>
      </c>
      <c r="N79" t="s">
        <v>97</v>
      </c>
      <c r="O79" s="12">
        <v>12</v>
      </c>
      <c r="P79" s="2">
        <v>2016</v>
      </c>
      <c r="Q79">
        <v>24</v>
      </c>
    </row>
    <row r="80" spans="1:18" x14ac:dyDescent="0.25">
      <c r="A80">
        <v>79</v>
      </c>
      <c r="B80" s="9">
        <v>42728</v>
      </c>
      <c r="C80" s="7">
        <v>32</v>
      </c>
      <c r="D80">
        <v>1</v>
      </c>
      <c r="E80" t="s">
        <v>64</v>
      </c>
      <c r="F80" t="s">
        <v>61</v>
      </c>
      <c r="G80">
        <v>1</v>
      </c>
      <c r="H80" t="s">
        <v>58</v>
      </c>
      <c r="I80" s="8">
        <v>3.5</v>
      </c>
      <c r="J80">
        <v>2</v>
      </c>
      <c r="K80" s="8">
        <v>7</v>
      </c>
      <c r="L80" s="12">
        <v>2</v>
      </c>
      <c r="M80" s="8" t="s">
        <v>143</v>
      </c>
      <c r="N80" t="s">
        <v>97</v>
      </c>
      <c r="O80" s="12">
        <v>12</v>
      </c>
      <c r="P80" s="2">
        <v>2016</v>
      </c>
      <c r="Q80">
        <v>24</v>
      </c>
      <c r="R80" s="36">
        <v>0.67070601851851841</v>
      </c>
    </row>
    <row r="81" spans="1:18" x14ac:dyDescent="0.25">
      <c r="A81">
        <v>80</v>
      </c>
      <c r="B81" s="9">
        <v>42728</v>
      </c>
      <c r="C81" s="7">
        <v>31</v>
      </c>
      <c r="D81">
        <v>5</v>
      </c>
      <c r="E81" t="s">
        <v>67</v>
      </c>
      <c r="F81" t="s">
        <v>31</v>
      </c>
      <c r="G81">
        <v>1</v>
      </c>
      <c r="H81" t="s">
        <v>58</v>
      </c>
      <c r="I81" s="8">
        <v>4</v>
      </c>
      <c r="J81">
        <v>1</v>
      </c>
      <c r="K81" s="8">
        <v>4</v>
      </c>
      <c r="L81" s="12">
        <v>3</v>
      </c>
      <c r="M81" s="8" t="s">
        <v>147</v>
      </c>
      <c r="N81" t="s">
        <v>97</v>
      </c>
      <c r="O81" s="12">
        <v>12</v>
      </c>
      <c r="P81" s="2">
        <v>2016</v>
      </c>
      <c r="Q81">
        <v>24</v>
      </c>
      <c r="R81" s="36">
        <v>0.67173611111111109</v>
      </c>
    </row>
    <row r="82" spans="1:18" x14ac:dyDescent="0.25">
      <c r="A82">
        <v>81</v>
      </c>
      <c r="B82" s="9">
        <v>42728</v>
      </c>
      <c r="C82" s="7">
        <v>33</v>
      </c>
      <c r="D82">
        <v>1</v>
      </c>
      <c r="E82" t="s">
        <v>64</v>
      </c>
      <c r="F82" t="s">
        <v>61</v>
      </c>
      <c r="G82">
        <v>2</v>
      </c>
      <c r="H82" t="s">
        <v>55</v>
      </c>
      <c r="I82" s="8">
        <v>3.5</v>
      </c>
      <c r="J82">
        <v>2</v>
      </c>
      <c r="K82" s="8">
        <v>7</v>
      </c>
      <c r="L82" s="12">
        <v>4</v>
      </c>
      <c r="M82" s="8" t="s">
        <v>37</v>
      </c>
      <c r="N82" t="s">
        <v>97</v>
      </c>
      <c r="O82" s="12">
        <v>12</v>
      </c>
      <c r="P82" s="2">
        <v>2016</v>
      </c>
      <c r="Q82">
        <v>24</v>
      </c>
    </row>
    <row r="83" spans="1:18" x14ac:dyDescent="0.25">
      <c r="A83">
        <v>82</v>
      </c>
      <c r="B83" s="9">
        <v>42728</v>
      </c>
      <c r="C83" s="7">
        <v>33</v>
      </c>
      <c r="D83">
        <v>22</v>
      </c>
      <c r="E83" t="s">
        <v>85</v>
      </c>
      <c r="F83" t="s">
        <v>32</v>
      </c>
      <c r="G83">
        <v>2</v>
      </c>
      <c r="H83" t="s">
        <v>55</v>
      </c>
      <c r="I83" s="8">
        <v>80</v>
      </c>
      <c r="J83">
        <v>1</v>
      </c>
      <c r="K83" s="8">
        <v>80</v>
      </c>
      <c r="L83" s="12">
        <v>4</v>
      </c>
      <c r="M83" s="8" t="s">
        <v>150</v>
      </c>
      <c r="N83" t="s">
        <v>97</v>
      </c>
      <c r="O83" s="12">
        <v>12</v>
      </c>
      <c r="P83" s="2">
        <v>2016</v>
      </c>
      <c r="Q83">
        <v>24</v>
      </c>
      <c r="R83" s="36">
        <v>0.67253472222222221</v>
      </c>
    </row>
    <row r="84" spans="1:18" x14ac:dyDescent="0.25">
      <c r="A84">
        <v>83</v>
      </c>
      <c r="B84" s="9">
        <v>42728</v>
      </c>
      <c r="C84" s="7">
        <v>33</v>
      </c>
      <c r="D84">
        <v>7</v>
      </c>
      <c r="E84" t="s">
        <v>53</v>
      </c>
      <c r="F84" t="s">
        <v>31</v>
      </c>
      <c r="G84">
        <v>2</v>
      </c>
      <c r="H84" t="s">
        <v>55</v>
      </c>
      <c r="I84" s="8">
        <v>6</v>
      </c>
      <c r="J84">
        <v>2</v>
      </c>
      <c r="K84" s="8">
        <v>12</v>
      </c>
      <c r="L84" s="12">
        <v>4</v>
      </c>
      <c r="M84" s="8" t="s">
        <v>150</v>
      </c>
      <c r="N84" t="s">
        <v>97</v>
      </c>
      <c r="O84" s="12">
        <v>12</v>
      </c>
      <c r="P84" s="2">
        <v>2016</v>
      </c>
      <c r="Q84">
        <v>24</v>
      </c>
      <c r="R84" s="36">
        <v>0.67281250000000004</v>
      </c>
    </row>
    <row r="85" spans="1:18" x14ac:dyDescent="0.25">
      <c r="A85">
        <v>84</v>
      </c>
      <c r="B85" s="9">
        <v>42728</v>
      </c>
      <c r="C85" s="7">
        <v>34</v>
      </c>
      <c r="D85">
        <v>27</v>
      </c>
      <c r="E85" t="s">
        <v>90</v>
      </c>
      <c r="F85" t="s">
        <v>33</v>
      </c>
      <c r="G85">
        <v>0</v>
      </c>
      <c r="H85" t="s">
        <v>135</v>
      </c>
      <c r="I85" s="8">
        <v>40</v>
      </c>
      <c r="J85">
        <v>1</v>
      </c>
      <c r="K85" s="8">
        <v>40</v>
      </c>
      <c r="L85" s="12">
        <v>0</v>
      </c>
      <c r="M85" s="8" t="s">
        <v>136</v>
      </c>
      <c r="N85" t="s">
        <v>97</v>
      </c>
      <c r="O85" s="12">
        <v>12</v>
      </c>
      <c r="P85" s="2">
        <v>2016</v>
      </c>
      <c r="Q85">
        <v>24</v>
      </c>
    </row>
    <row r="86" spans="1:18" x14ac:dyDescent="0.25">
      <c r="A86">
        <v>85</v>
      </c>
      <c r="B86" s="9">
        <v>42728</v>
      </c>
      <c r="C86" s="7">
        <v>34</v>
      </c>
      <c r="D86">
        <v>1</v>
      </c>
      <c r="E86" t="s">
        <v>64</v>
      </c>
      <c r="F86" t="s">
        <v>61</v>
      </c>
      <c r="G86">
        <v>0</v>
      </c>
      <c r="H86" t="s">
        <v>135</v>
      </c>
      <c r="I86" s="8">
        <v>3.5</v>
      </c>
      <c r="J86">
        <v>2</v>
      </c>
      <c r="K86" s="8">
        <v>7</v>
      </c>
      <c r="L86" s="12">
        <v>0</v>
      </c>
      <c r="M86" s="8" t="s">
        <v>136</v>
      </c>
      <c r="N86" t="s">
        <v>97</v>
      </c>
      <c r="O86" s="12">
        <v>12</v>
      </c>
      <c r="P86" s="2">
        <v>2016</v>
      </c>
      <c r="Q86">
        <v>24</v>
      </c>
      <c r="R86" s="36">
        <v>0.67421296296296296</v>
      </c>
    </row>
    <row r="87" spans="1:18" x14ac:dyDescent="0.25">
      <c r="A87">
        <v>86</v>
      </c>
      <c r="B87" s="9">
        <v>42728</v>
      </c>
      <c r="C87" s="7">
        <v>35</v>
      </c>
      <c r="D87">
        <v>2</v>
      </c>
      <c r="E87" t="s">
        <v>65</v>
      </c>
      <c r="F87" t="s">
        <v>61</v>
      </c>
      <c r="G87">
        <v>5</v>
      </c>
      <c r="H87" t="s">
        <v>106</v>
      </c>
      <c r="I87" s="8">
        <v>3.5</v>
      </c>
      <c r="J87">
        <v>1</v>
      </c>
      <c r="K87" s="8">
        <v>3.5</v>
      </c>
      <c r="L87" s="12">
        <v>2</v>
      </c>
      <c r="M87" s="8" t="s">
        <v>35</v>
      </c>
      <c r="N87" t="s">
        <v>97</v>
      </c>
      <c r="O87" s="12">
        <v>12</v>
      </c>
      <c r="P87" s="2">
        <v>2016</v>
      </c>
      <c r="Q87">
        <v>24</v>
      </c>
    </row>
    <row r="88" spans="1:18" x14ac:dyDescent="0.25">
      <c r="A88">
        <v>87</v>
      </c>
      <c r="B88" s="9">
        <v>42728</v>
      </c>
      <c r="C88" s="7">
        <v>35</v>
      </c>
      <c r="D88">
        <v>2</v>
      </c>
      <c r="E88" t="s">
        <v>65</v>
      </c>
      <c r="F88" t="s">
        <v>61</v>
      </c>
      <c r="G88">
        <v>5</v>
      </c>
      <c r="H88" t="s">
        <v>106</v>
      </c>
      <c r="I88" s="8">
        <v>3.5</v>
      </c>
      <c r="J88">
        <v>1</v>
      </c>
      <c r="K88" s="8">
        <v>3.5</v>
      </c>
      <c r="L88" s="12">
        <v>2</v>
      </c>
      <c r="M88" s="8" t="s">
        <v>35</v>
      </c>
      <c r="N88" t="s">
        <v>97</v>
      </c>
      <c r="O88" s="12">
        <v>12</v>
      </c>
      <c r="P88" s="2">
        <v>2016</v>
      </c>
      <c r="Q88">
        <v>24</v>
      </c>
      <c r="R88" s="36">
        <v>0.67638888888888893</v>
      </c>
    </row>
    <row r="89" spans="1:18" x14ac:dyDescent="0.25">
      <c r="A89">
        <v>88</v>
      </c>
      <c r="B89" s="9">
        <v>42728</v>
      </c>
      <c r="C89" s="7">
        <v>35</v>
      </c>
      <c r="D89">
        <v>2</v>
      </c>
      <c r="E89" t="s">
        <v>65</v>
      </c>
      <c r="F89" t="s">
        <v>61</v>
      </c>
      <c r="G89">
        <v>1</v>
      </c>
      <c r="H89" t="s">
        <v>58</v>
      </c>
      <c r="I89" s="8">
        <v>3.5</v>
      </c>
      <c r="J89">
        <v>1</v>
      </c>
      <c r="K89" s="8">
        <v>3.5</v>
      </c>
      <c r="L89" s="12">
        <v>2</v>
      </c>
      <c r="M89" s="8" t="s">
        <v>152</v>
      </c>
      <c r="N89" t="s">
        <v>97</v>
      </c>
      <c r="O89" s="12">
        <v>12</v>
      </c>
      <c r="P89" s="2">
        <v>2016</v>
      </c>
      <c r="Q89">
        <v>24</v>
      </c>
      <c r="R89" s="36">
        <v>0.8294907407407407</v>
      </c>
    </row>
    <row r="90" spans="1:18" x14ac:dyDescent="0.25">
      <c r="A90">
        <v>89</v>
      </c>
      <c r="B90" s="9">
        <v>42728</v>
      </c>
      <c r="C90" s="7">
        <v>35</v>
      </c>
      <c r="D90">
        <v>3</v>
      </c>
      <c r="E90" t="s">
        <v>66</v>
      </c>
      <c r="F90" t="s">
        <v>61</v>
      </c>
      <c r="G90">
        <v>2</v>
      </c>
      <c r="H90" t="s">
        <v>55</v>
      </c>
      <c r="I90" s="8">
        <v>3.5</v>
      </c>
      <c r="J90">
        <v>1</v>
      </c>
      <c r="K90" s="8">
        <v>3.5</v>
      </c>
      <c r="L90" s="12">
        <v>2</v>
      </c>
      <c r="M90" s="8" t="s">
        <v>152</v>
      </c>
      <c r="N90" t="s">
        <v>97</v>
      </c>
      <c r="O90" s="12">
        <v>12</v>
      </c>
      <c r="P90" s="2">
        <v>2016</v>
      </c>
      <c r="Q90">
        <v>24</v>
      </c>
      <c r="R90" s="36">
        <v>0.82958333333333334</v>
      </c>
    </row>
    <row r="91" spans="1:18" x14ac:dyDescent="0.25">
      <c r="A91">
        <v>90</v>
      </c>
      <c r="B91" s="9">
        <v>42728</v>
      </c>
      <c r="C91" s="7">
        <v>35</v>
      </c>
      <c r="D91">
        <v>2</v>
      </c>
      <c r="E91" t="s">
        <v>65</v>
      </c>
      <c r="F91" t="s">
        <v>61</v>
      </c>
      <c r="G91">
        <v>3</v>
      </c>
      <c r="H91" t="s">
        <v>59</v>
      </c>
      <c r="I91" s="8">
        <v>3.5</v>
      </c>
      <c r="J91">
        <v>1</v>
      </c>
      <c r="K91" s="8">
        <v>3.5</v>
      </c>
      <c r="L91" s="12">
        <v>2</v>
      </c>
      <c r="M91" s="8" t="s">
        <v>152</v>
      </c>
      <c r="N91" t="s">
        <v>97</v>
      </c>
      <c r="O91" s="12">
        <v>12</v>
      </c>
      <c r="P91" s="2">
        <v>2016</v>
      </c>
      <c r="Q91">
        <v>24</v>
      </c>
      <c r="R91" s="36">
        <v>0.83019675925925929</v>
      </c>
    </row>
    <row r="92" spans="1:18" x14ac:dyDescent="0.25">
      <c r="A92">
        <v>91</v>
      </c>
      <c r="B92" s="9">
        <v>42728</v>
      </c>
      <c r="C92" s="7">
        <v>35</v>
      </c>
      <c r="D92">
        <v>2</v>
      </c>
      <c r="E92" t="s">
        <v>65</v>
      </c>
      <c r="F92" t="s">
        <v>61</v>
      </c>
      <c r="G92">
        <v>3</v>
      </c>
      <c r="H92" t="s">
        <v>59</v>
      </c>
      <c r="I92" s="8">
        <v>3.5</v>
      </c>
      <c r="J92">
        <v>1</v>
      </c>
      <c r="K92" s="8">
        <v>3.5</v>
      </c>
      <c r="L92" s="12">
        <v>2</v>
      </c>
      <c r="M92" s="8" t="s">
        <v>152</v>
      </c>
      <c r="N92" t="s">
        <v>97</v>
      </c>
      <c r="O92" s="12">
        <v>12</v>
      </c>
      <c r="P92" s="2">
        <v>2016</v>
      </c>
      <c r="Q92">
        <v>24</v>
      </c>
      <c r="R92" s="36">
        <v>0.83038194444444446</v>
      </c>
    </row>
    <row r="93" spans="1:18" x14ac:dyDescent="0.25">
      <c r="A93">
        <v>92</v>
      </c>
      <c r="B93" s="9">
        <v>42728</v>
      </c>
      <c r="C93" s="7">
        <v>35</v>
      </c>
      <c r="D93">
        <v>2</v>
      </c>
      <c r="E93" t="s">
        <v>65</v>
      </c>
      <c r="F93" t="s">
        <v>61</v>
      </c>
      <c r="G93">
        <v>1</v>
      </c>
      <c r="H93" t="s">
        <v>58</v>
      </c>
      <c r="I93" s="8">
        <v>3.5</v>
      </c>
      <c r="J93">
        <v>1</v>
      </c>
      <c r="K93" s="8">
        <v>3.5</v>
      </c>
      <c r="L93" s="12">
        <v>2</v>
      </c>
      <c r="M93" s="8" t="s">
        <v>152</v>
      </c>
      <c r="N93" t="s">
        <v>97</v>
      </c>
      <c r="O93" s="12">
        <v>12</v>
      </c>
      <c r="P93" s="2">
        <v>2016</v>
      </c>
      <c r="Q93">
        <v>24</v>
      </c>
      <c r="R93" s="36">
        <v>0.83101851851851849</v>
      </c>
    </row>
    <row r="94" spans="1:18" x14ac:dyDescent="0.25">
      <c r="A94">
        <v>93</v>
      </c>
      <c r="B94" s="9">
        <v>42728</v>
      </c>
      <c r="C94" s="7">
        <v>31</v>
      </c>
      <c r="D94">
        <v>1</v>
      </c>
      <c r="E94" t="s">
        <v>64</v>
      </c>
      <c r="F94" t="s">
        <v>61</v>
      </c>
      <c r="G94">
        <v>2</v>
      </c>
      <c r="H94" t="s">
        <v>55</v>
      </c>
      <c r="I94" s="8">
        <v>3.5</v>
      </c>
      <c r="J94">
        <v>1</v>
      </c>
      <c r="K94" s="8">
        <v>3.5</v>
      </c>
      <c r="L94" s="12">
        <v>3</v>
      </c>
      <c r="M94" s="8" t="s">
        <v>153</v>
      </c>
      <c r="N94" t="s">
        <v>97</v>
      </c>
      <c r="O94" s="12">
        <v>12</v>
      </c>
      <c r="P94" s="2">
        <v>2016</v>
      </c>
      <c r="Q94">
        <v>24</v>
      </c>
      <c r="R94" s="36">
        <v>0.8319212962962963</v>
      </c>
    </row>
    <row r="95" spans="1:18" x14ac:dyDescent="0.25">
      <c r="A95">
        <v>94</v>
      </c>
      <c r="B95" s="9">
        <v>42728</v>
      </c>
      <c r="C95" s="7">
        <v>31</v>
      </c>
      <c r="D95">
        <v>2</v>
      </c>
      <c r="E95" t="s">
        <v>65</v>
      </c>
      <c r="F95" t="s">
        <v>61</v>
      </c>
      <c r="G95">
        <v>2</v>
      </c>
      <c r="H95" t="s">
        <v>55</v>
      </c>
      <c r="I95" s="8">
        <v>3.5</v>
      </c>
      <c r="J95">
        <v>1</v>
      </c>
      <c r="K95" s="8">
        <v>3.5</v>
      </c>
      <c r="L95" s="12">
        <v>3</v>
      </c>
      <c r="M95" s="8" t="s">
        <v>153</v>
      </c>
      <c r="N95" t="s">
        <v>97</v>
      </c>
      <c r="O95" s="12">
        <v>12</v>
      </c>
      <c r="P95" s="2">
        <v>2016</v>
      </c>
      <c r="Q95">
        <v>24</v>
      </c>
      <c r="R95" s="36">
        <v>0.8322222222222222</v>
      </c>
    </row>
    <row r="96" spans="1:18" x14ac:dyDescent="0.25">
      <c r="A96">
        <v>95</v>
      </c>
      <c r="B96" s="9">
        <v>42728</v>
      </c>
      <c r="C96" s="7">
        <v>36</v>
      </c>
      <c r="D96">
        <v>3</v>
      </c>
      <c r="E96" t="s">
        <v>66</v>
      </c>
      <c r="F96" t="s">
        <v>61</v>
      </c>
      <c r="G96">
        <v>1</v>
      </c>
      <c r="H96" t="s">
        <v>58</v>
      </c>
      <c r="I96" s="8">
        <v>3.5</v>
      </c>
      <c r="J96">
        <v>1</v>
      </c>
      <c r="K96" s="8">
        <v>3.5</v>
      </c>
      <c r="L96" s="12">
        <v>2</v>
      </c>
      <c r="M96" s="8" t="s">
        <v>35</v>
      </c>
      <c r="N96" t="s">
        <v>97</v>
      </c>
      <c r="O96" s="12">
        <v>12</v>
      </c>
      <c r="P96" s="2">
        <v>2016</v>
      </c>
      <c r="Q96">
        <v>24</v>
      </c>
    </row>
    <row r="97" spans="1:18" x14ac:dyDescent="0.25">
      <c r="A97">
        <v>96</v>
      </c>
      <c r="B97" s="9">
        <v>42728</v>
      </c>
      <c r="C97" s="7">
        <v>36</v>
      </c>
      <c r="D97">
        <v>2</v>
      </c>
      <c r="E97" t="s">
        <v>65</v>
      </c>
      <c r="F97" t="s">
        <v>61</v>
      </c>
      <c r="G97">
        <v>1</v>
      </c>
      <c r="H97" t="s">
        <v>58</v>
      </c>
      <c r="I97" s="8">
        <v>3.5</v>
      </c>
      <c r="J97">
        <v>1</v>
      </c>
      <c r="K97" s="8">
        <v>3.5</v>
      </c>
      <c r="L97" s="12">
        <v>2</v>
      </c>
      <c r="M97" s="8" t="s">
        <v>35</v>
      </c>
      <c r="N97" t="s">
        <v>97</v>
      </c>
      <c r="O97" s="12">
        <v>12</v>
      </c>
      <c r="P97" s="2">
        <v>2016</v>
      </c>
      <c r="Q97">
        <v>24</v>
      </c>
      <c r="R97" s="36">
        <v>0.83270833333333327</v>
      </c>
    </row>
    <row r="98" spans="1:18" x14ac:dyDescent="0.25">
      <c r="A98">
        <v>97</v>
      </c>
      <c r="B98" s="9">
        <v>42728</v>
      </c>
      <c r="C98" s="7">
        <v>36</v>
      </c>
      <c r="D98">
        <v>2</v>
      </c>
      <c r="E98" t="s">
        <v>65</v>
      </c>
      <c r="F98" t="s">
        <v>61</v>
      </c>
      <c r="G98">
        <v>1</v>
      </c>
      <c r="H98" t="s">
        <v>58</v>
      </c>
      <c r="I98" s="8">
        <v>3.5</v>
      </c>
      <c r="J98">
        <v>1</v>
      </c>
      <c r="K98" s="8">
        <v>3.5</v>
      </c>
      <c r="L98" s="12">
        <v>2</v>
      </c>
      <c r="M98" s="8" t="s">
        <v>35</v>
      </c>
      <c r="N98" t="s">
        <v>97</v>
      </c>
      <c r="O98" s="12">
        <v>12</v>
      </c>
      <c r="P98" s="2">
        <v>2016</v>
      </c>
      <c r="Q98">
        <v>24</v>
      </c>
      <c r="R98" s="36">
        <v>0.83289351851851856</v>
      </c>
    </row>
    <row r="99" spans="1:18" x14ac:dyDescent="0.25">
      <c r="A99">
        <v>98</v>
      </c>
      <c r="B99" s="9">
        <v>42728</v>
      </c>
      <c r="C99" s="7">
        <v>31</v>
      </c>
      <c r="D99">
        <v>2</v>
      </c>
      <c r="E99" t="s">
        <v>65</v>
      </c>
      <c r="F99" t="s">
        <v>61</v>
      </c>
      <c r="G99">
        <v>3</v>
      </c>
      <c r="H99" t="s">
        <v>59</v>
      </c>
      <c r="I99" s="8">
        <v>3.5</v>
      </c>
      <c r="J99">
        <v>1</v>
      </c>
      <c r="K99" s="8">
        <v>3.5</v>
      </c>
      <c r="L99" s="12">
        <v>3</v>
      </c>
      <c r="M99" s="8" t="s">
        <v>153</v>
      </c>
      <c r="N99" t="s">
        <v>97</v>
      </c>
      <c r="O99" s="12">
        <v>12</v>
      </c>
      <c r="P99" s="2">
        <v>2016</v>
      </c>
      <c r="Q99">
        <v>24</v>
      </c>
      <c r="R99" s="36">
        <v>0.83446759259259251</v>
      </c>
    </row>
    <row r="100" spans="1:18" x14ac:dyDescent="0.25">
      <c r="A100">
        <v>99</v>
      </c>
      <c r="B100" s="9">
        <v>42728</v>
      </c>
      <c r="C100" s="7">
        <v>37</v>
      </c>
      <c r="D100">
        <v>1</v>
      </c>
      <c r="E100" t="s">
        <v>64</v>
      </c>
      <c r="F100" t="s">
        <v>61</v>
      </c>
      <c r="G100">
        <v>0</v>
      </c>
      <c r="H100" t="s">
        <v>135</v>
      </c>
      <c r="I100" s="8">
        <v>3.5</v>
      </c>
      <c r="J100">
        <v>1</v>
      </c>
      <c r="K100" s="8">
        <v>3.5</v>
      </c>
      <c r="L100" s="12">
        <v>0</v>
      </c>
      <c r="M100" s="8" t="s">
        <v>136</v>
      </c>
      <c r="N100" t="s">
        <v>97</v>
      </c>
      <c r="O100" s="12">
        <v>12</v>
      </c>
      <c r="P100" s="2">
        <v>2016</v>
      </c>
      <c r="Q100">
        <v>24</v>
      </c>
      <c r="R100" s="36">
        <v>0.83519675925925929</v>
      </c>
    </row>
    <row r="101" spans="1:18" x14ac:dyDescent="0.25">
      <c r="A101">
        <v>100</v>
      </c>
      <c r="B101" s="9">
        <v>42728</v>
      </c>
      <c r="C101" s="7">
        <v>38</v>
      </c>
      <c r="D101">
        <v>2</v>
      </c>
      <c r="E101" t="s">
        <v>65</v>
      </c>
      <c r="F101" t="s">
        <v>61</v>
      </c>
      <c r="G101">
        <v>1</v>
      </c>
      <c r="H101" t="s">
        <v>58</v>
      </c>
      <c r="I101" s="8">
        <v>3.5</v>
      </c>
      <c r="J101">
        <v>1</v>
      </c>
      <c r="K101" s="8">
        <v>3.5</v>
      </c>
      <c r="L101" s="12">
        <v>2</v>
      </c>
      <c r="M101" s="8" t="s">
        <v>35</v>
      </c>
      <c r="N101" t="s">
        <v>97</v>
      </c>
      <c r="O101" s="12">
        <v>12</v>
      </c>
      <c r="P101" s="2">
        <v>2016</v>
      </c>
      <c r="Q101">
        <v>24</v>
      </c>
    </row>
    <row r="102" spans="1:18" x14ac:dyDescent="0.25">
      <c r="A102">
        <v>101</v>
      </c>
      <c r="B102" s="9">
        <v>42728</v>
      </c>
      <c r="C102" s="7">
        <v>38</v>
      </c>
      <c r="D102">
        <v>2</v>
      </c>
      <c r="E102" t="s">
        <v>65</v>
      </c>
      <c r="F102" t="s">
        <v>61</v>
      </c>
      <c r="G102">
        <v>1</v>
      </c>
      <c r="H102" t="s">
        <v>58</v>
      </c>
      <c r="I102" s="8">
        <v>3.5</v>
      </c>
      <c r="J102">
        <v>2</v>
      </c>
      <c r="K102" s="8">
        <v>7</v>
      </c>
      <c r="L102" s="12">
        <v>2</v>
      </c>
      <c r="M102" s="8" t="s">
        <v>35</v>
      </c>
      <c r="N102" t="s">
        <v>97</v>
      </c>
      <c r="O102" s="12">
        <v>12</v>
      </c>
      <c r="P102" s="2">
        <v>2016</v>
      </c>
      <c r="Q102">
        <v>24</v>
      </c>
      <c r="R102" s="36">
        <v>0.83540509259259255</v>
      </c>
    </row>
    <row r="103" spans="1:18" x14ac:dyDescent="0.25">
      <c r="A103">
        <v>102</v>
      </c>
      <c r="B103" s="9">
        <v>42728</v>
      </c>
      <c r="C103" s="7">
        <v>38</v>
      </c>
      <c r="D103">
        <v>2</v>
      </c>
      <c r="E103" t="s">
        <v>65</v>
      </c>
      <c r="F103" t="s">
        <v>61</v>
      </c>
      <c r="G103">
        <v>1</v>
      </c>
      <c r="H103" t="s">
        <v>58</v>
      </c>
      <c r="I103" s="8">
        <v>3.5</v>
      </c>
      <c r="J103">
        <v>1</v>
      </c>
      <c r="K103" s="8">
        <v>3.5</v>
      </c>
      <c r="L103" s="12">
        <v>2</v>
      </c>
      <c r="M103" s="8" t="s">
        <v>35</v>
      </c>
      <c r="N103" t="s">
        <v>97</v>
      </c>
      <c r="O103" s="12">
        <v>12</v>
      </c>
      <c r="P103" s="2">
        <v>2016</v>
      </c>
      <c r="Q103">
        <v>24</v>
      </c>
      <c r="R103" s="36">
        <v>0.83554398148148146</v>
      </c>
    </row>
    <row r="104" spans="1:18" x14ac:dyDescent="0.25">
      <c r="A104">
        <v>103</v>
      </c>
      <c r="B104" s="9">
        <v>42728</v>
      </c>
      <c r="C104" s="7">
        <v>38</v>
      </c>
      <c r="D104">
        <v>2</v>
      </c>
      <c r="E104" t="s">
        <v>65</v>
      </c>
      <c r="F104" t="s">
        <v>61</v>
      </c>
      <c r="G104">
        <v>1</v>
      </c>
      <c r="H104" t="s">
        <v>58</v>
      </c>
      <c r="I104" s="8">
        <v>3.5</v>
      </c>
      <c r="J104">
        <v>1</v>
      </c>
      <c r="K104" s="8">
        <v>3.5</v>
      </c>
      <c r="L104" s="12">
        <v>2</v>
      </c>
      <c r="M104" s="8" t="s">
        <v>152</v>
      </c>
      <c r="N104" t="s">
        <v>97</v>
      </c>
      <c r="O104" s="12">
        <v>12</v>
      </c>
      <c r="P104" s="2">
        <v>2016</v>
      </c>
      <c r="Q104">
        <v>24</v>
      </c>
      <c r="R104" s="36">
        <v>0.83564814814814825</v>
      </c>
    </row>
    <row r="105" spans="1:18" x14ac:dyDescent="0.25">
      <c r="A105">
        <v>104</v>
      </c>
      <c r="B105" s="9">
        <v>42728</v>
      </c>
      <c r="C105" s="7">
        <v>39</v>
      </c>
      <c r="D105">
        <v>2</v>
      </c>
      <c r="E105" t="s">
        <v>65</v>
      </c>
      <c r="F105" t="s">
        <v>61</v>
      </c>
      <c r="G105">
        <v>1</v>
      </c>
      <c r="H105" t="s">
        <v>58</v>
      </c>
      <c r="I105" s="8">
        <v>3.5</v>
      </c>
      <c r="J105">
        <v>1</v>
      </c>
      <c r="K105" s="8">
        <v>3.5</v>
      </c>
      <c r="L105" s="12">
        <v>2</v>
      </c>
      <c r="M105" s="8" t="s">
        <v>35</v>
      </c>
      <c r="N105" t="s">
        <v>97</v>
      </c>
      <c r="O105" s="12">
        <v>12</v>
      </c>
      <c r="P105" s="2">
        <v>2016</v>
      </c>
      <c r="Q105">
        <v>25</v>
      </c>
      <c r="R105" s="36">
        <v>8.4490740740740741E-3</v>
      </c>
    </row>
    <row r="106" spans="1:18" x14ac:dyDescent="0.25">
      <c r="A106">
        <v>105</v>
      </c>
      <c r="B106" s="9">
        <v>42728</v>
      </c>
      <c r="C106" s="7">
        <v>39</v>
      </c>
      <c r="D106">
        <v>1</v>
      </c>
      <c r="E106" t="s">
        <v>64</v>
      </c>
      <c r="F106" t="s">
        <v>61</v>
      </c>
      <c r="G106">
        <v>1</v>
      </c>
      <c r="H106" t="s">
        <v>58</v>
      </c>
      <c r="I106" s="8">
        <v>3.5</v>
      </c>
      <c r="J106">
        <v>1</v>
      </c>
      <c r="K106" s="8">
        <v>3.5</v>
      </c>
      <c r="L106" s="12">
        <v>2</v>
      </c>
      <c r="M106" s="8" t="s">
        <v>35</v>
      </c>
      <c r="N106" t="s">
        <v>97</v>
      </c>
      <c r="O106" s="12">
        <v>12</v>
      </c>
      <c r="P106" s="2">
        <v>2016</v>
      </c>
      <c r="Q106">
        <v>25</v>
      </c>
      <c r="R106" s="36">
        <v>8.4490740740740741E-3</v>
      </c>
    </row>
    <row r="107" spans="1:18" x14ac:dyDescent="0.25">
      <c r="A107">
        <v>106</v>
      </c>
      <c r="B107" s="9">
        <v>42728</v>
      </c>
      <c r="C107" s="7">
        <v>39</v>
      </c>
      <c r="D107">
        <v>3</v>
      </c>
      <c r="E107" t="s">
        <v>66</v>
      </c>
      <c r="F107" t="s">
        <v>61</v>
      </c>
      <c r="G107">
        <v>2</v>
      </c>
      <c r="H107" t="s">
        <v>55</v>
      </c>
      <c r="I107" s="8">
        <v>3.5</v>
      </c>
      <c r="J107">
        <v>1</v>
      </c>
      <c r="K107" s="8">
        <v>3.5</v>
      </c>
      <c r="L107" s="12">
        <v>2</v>
      </c>
      <c r="M107" s="8" t="s">
        <v>152</v>
      </c>
      <c r="N107" t="s">
        <v>97</v>
      </c>
      <c r="O107" s="12">
        <v>12</v>
      </c>
      <c r="P107" s="2">
        <v>2016</v>
      </c>
      <c r="Q107">
        <v>25</v>
      </c>
      <c r="R107" s="36">
        <v>8.4490740740740741E-3</v>
      </c>
    </row>
    <row r="108" spans="1:18" x14ac:dyDescent="0.25">
      <c r="A108">
        <v>107</v>
      </c>
      <c r="B108" s="9">
        <v>42728</v>
      </c>
      <c r="C108" s="7">
        <v>40</v>
      </c>
      <c r="D108">
        <v>3</v>
      </c>
      <c r="E108" t="s">
        <v>66</v>
      </c>
      <c r="F108" t="s">
        <v>61</v>
      </c>
      <c r="G108">
        <v>1</v>
      </c>
      <c r="H108" t="s">
        <v>58</v>
      </c>
      <c r="I108" s="8">
        <v>3.5</v>
      </c>
      <c r="J108">
        <v>1</v>
      </c>
      <c r="K108" s="8">
        <v>3.5</v>
      </c>
      <c r="L108" s="12">
        <v>1</v>
      </c>
      <c r="M108" s="8" t="s">
        <v>34</v>
      </c>
      <c r="N108" t="s">
        <v>97</v>
      </c>
      <c r="O108" s="12">
        <v>12</v>
      </c>
      <c r="P108" s="2">
        <v>2016</v>
      </c>
      <c r="Q108">
        <v>25</v>
      </c>
      <c r="R108" s="36">
        <v>7.3726851851851861E-3</v>
      </c>
    </row>
    <row r="109" spans="1:18" x14ac:dyDescent="0.25">
      <c r="A109">
        <v>108</v>
      </c>
      <c r="B109" s="9">
        <v>42728</v>
      </c>
      <c r="C109" s="7">
        <v>40</v>
      </c>
      <c r="D109">
        <v>4</v>
      </c>
      <c r="E109" t="s">
        <v>76</v>
      </c>
      <c r="F109" t="s">
        <v>61</v>
      </c>
      <c r="G109">
        <v>1</v>
      </c>
      <c r="H109" t="s">
        <v>58</v>
      </c>
      <c r="I109" s="8">
        <v>7</v>
      </c>
      <c r="J109">
        <v>2</v>
      </c>
      <c r="K109" s="8">
        <v>14</v>
      </c>
      <c r="L109" s="12">
        <v>1</v>
      </c>
      <c r="M109" s="8" t="s">
        <v>34</v>
      </c>
      <c r="N109" t="s">
        <v>97</v>
      </c>
      <c r="O109" s="12">
        <v>12</v>
      </c>
      <c r="P109" s="2">
        <v>2016</v>
      </c>
      <c r="Q109">
        <v>25</v>
      </c>
      <c r="R109" s="36">
        <v>7.3726851851851861E-3</v>
      </c>
    </row>
    <row r="110" spans="1:18" x14ac:dyDescent="0.25">
      <c r="A110">
        <v>109</v>
      </c>
      <c r="B110" s="9">
        <v>42728</v>
      </c>
      <c r="C110" s="7">
        <v>40</v>
      </c>
      <c r="D110">
        <v>3</v>
      </c>
      <c r="E110" t="s">
        <v>66</v>
      </c>
      <c r="F110" t="s">
        <v>61</v>
      </c>
      <c r="G110">
        <v>1</v>
      </c>
      <c r="H110" t="s">
        <v>58</v>
      </c>
      <c r="I110" s="8">
        <v>3.5</v>
      </c>
      <c r="J110">
        <v>1</v>
      </c>
      <c r="K110" s="8">
        <v>3.5</v>
      </c>
      <c r="L110" s="12">
        <v>1</v>
      </c>
      <c r="M110" s="8" t="s">
        <v>34</v>
      </c>
      <c r="N110" t="s">
        <v>97</v>
      </c>
      <c r="O110" s="12">
        <v>12</v>
      </c>
      <c r="P110" s="2">
        <v>2016</v>
      </c>
      <c r="Q110">
        <v>25</v>
      </c>
      <c r="R110" s="36">
        <v>7.3726851851851861E-3</v>
      </c>
    </row>
    <row r="111" spans="1:18" x14ac:dyDescent="0.25">
      <c r="A111">
        <v>110</v>
      </c>
      <c r="B111" s="9">
        <v>42728</v>
      </c>
      <c r="C111" s="7">
        <v>40</v>
      </c>
      <c r="D111">
        <v>3</v>
      </c>
      <c r="E111" t="s">
        <v>66</v>
      </c>
      <c r="F111" t="s">
        <v>61</v>
      </c>
      <c r="G111">
        <v>1</v>
      </c>
      <c r="H111" t="s">
        <v>58</v>
      </c>
      <c r="I111" s="8">
        <v>3.5</v>
      </c>
      <c r="J111">
        <v>1</v>
      </c>
      <c r="K111" s="8">
        <v>3.5</v>
      </c>
      <c r="L111" s="12">
        <v>1</v>
      </c>
      <c r="M111" s="8" t="s">
        <v>34</v>
      </c>
      <c r="N111" t="s">
        <v>97</v>
      </c>
      <c r="O111" s="12">
        <v>12</v>
      </c>
      <c r="P111" s="2">
        <v>2016</v>
      </c>
      <c r="Q111">
        <v>25</v>
      </c>
      <c r="R111" s="36">
        <v>7.3726851851851861E-3</v>
      </c>
    </row>
    <row r="112" spans="1:18" x14ac:dyDescent="0.25">
      <c r="A112">
        <v>111</v>
      </c>
      <c r="B112" s="9">
        <v>42728</v>
      </c>
      <c r="C112" s="7">
        <v>40</v>
      </c>
      <c r="D112">
        <v>1</v>
      </c>
      <c r="E112" t="s">
        <v>64</v>
      </c>
      <c r="F112" t="s">
        <v>61</v>
      </c>
      <c r="G112">
        <v>1</v>
      </c>
      <c r="H112" t="s">
        <v>58</v>
      </c>
      <c r="I112" s="8">
        <v>3.5</v>
      </c>
      <c r="J112">
        <v>1</v>
      </c>
      <c r="K112" s="8">
        <v>3.5</v>
      </c>
      <c r="L112" s="12">
        <v>1</v>
      </c>
      <c r="M112" s="8" t="s">
        <v>34</v>
      </c>
      <c r="N112" t="s">
        <v>97</v>
      </c>
      <c r="O112" s="12">
        <v>12</v>
      </c>
      <c r="P112" s="2">
        <v>2016</v>
      </c>
      <c r="Q112">
        <v>25</v>
      </c>
      <c r="R112" s="36">
        <v>7.3726851851851861E-3</v>
      </c>
    </row>
    <row r="113" spans="1:18" x14ac:dyDescent="0.25">
      <c r="A113">
        <v>112</v>
      </c>
      <c r="B113" s="9">
        <v>42729</v>
      </c>
      <c r="C113" s="7">
        <v>41</v>
      </c>
      <c r="D113">
        <v>2</v>
      </c>
      <c r="E113" t="s">
        <v>65</v>
      </c>
      <c r="F113" t="s">
        <v>61</v>
      </c>
      <c r="G113">
        <v>0</v>
      </c>
      <c r="H113" t="s">
        <v>135</v>
      </c>
      <c r="I113" s="8">
        <v>3.5</v>
      </c>
      <c r="J113">
        <v>1</v>
      </c>
      <c r="K113" s="8">
        <v>3.5</v>
      </c>
      <c r="L113" s="12">
        <v>0</v>
      </c>
      <c r="M113" s="8" t="s">
        <v>136</v>
      </c>
      <c r="N113" t="s">
        <v>97</v>
      </c>
      <c r="O113" s="12">
        <v>12</v>
      </c>
      <c r="P113" s="2">
        <v>2016</v>
      </c>
      <c r="Q113">
        <v>25</v>
      </c>
      <c r="R113" s="36">
        <v>2.3923611111111114E-2</v>
      </c>
    </row>
    <row r="114" spans="1:18" x14ac:dyDescent="0.25">
      <c r="A114">
        <v>113</v>
      </c>
      <c r="B114" s="9">
        <v>42729</v>
      </c>
      <c r="C114" s="7">
        <v>41</v>
      </c>
      <c r="D114">
        <v>4</v>
      </c>
      <c r="E114" t="s">
        <v>76</v>
      </c>
      <c r="F114" t="s">
        <v>61</v>
      </c>
      <c r="G114">
        <v>0</v>
      </c>
      <c r="H114" t="s">
        <v>135</v>
      </c>
      <c r="I114" s="8">
        <v>7</v>
      </c>
      <c r="J114">
        <v>3</v>
      </c>
      <c r="K114" s="8">
        <v>21</v>
      </c>
      <c r="L114" s="12">
        <v>0</v>
      </c>
      <c r="M114" s="8" t="s">
        <v>136</v>
      </c>
      <c r="N114" t="s">
        <v>97</v>
      </c>
      <c r="O114" s="12">
        <v>12</v>
      </c>
      <c r="P114" s="2">
        <v>2016</v>
      </c>
      <c r="Q114">
        <v>25</v>
      </c>
      <c r="R114" s="36">
        <v>2.3923611111111114E-2</v>
      </c>
    </row>
    <row r="115" spans="1:18" x14ac:dyDescent="0.25">
      <c r="A115">
        <v>114</v>
      </c>
      <c r="B115" s="9">
        <v>42729</v>
      </c>
      <c r="C115" s="7">
        <v>42</v>
      </c>
      <c r="D115">
        <v>3</v>
      </c>
      <c r="E115" t="s">
        <v>66</v>
      </c>
      <c r="F115" t="s">
        <v>61</v>
      </c>
      <c r="G115">
        <v>0</v>
      </c>
      <c r="H115" t="s">
        <v>135</v>
      </c>
      <c r="I115" s="8">
        <v>3.5</v>
      </c>
      <c r="J115">
        <v>2</v>
      </c>
      <c r="K115" s="8">
        <v>7</v>
      </c>
      <c r="L115" s="12">
        <v>0</v>
      </c>
      <c r="M115" s="8" t="s">
        <v>136</v>
      </c>
      <c r="N115" t="s">
        <v>97</v>
      </c>
      <c r="O115" s="12">
        <v>12</v>
      </c>
      <c r="P115" s="2">
        <v>2016</v>
      </c>
      <c r="Q115">
        <v>25</v>
      </c>
      <c r="R115" s="36">
        <v>2.9537037037037039E-2</v>
      </c>
    </row>
    <row r="116" spans="1:18" x14ac:dyDescent="0.25">
      <c r="A116">
        <v>115</v>
      </c>
      <c r="B116" s="9">
        <v>42729</v>
      </c>
      <c r="C116" s="7">
        <v>42</v>
      </c>
      <c r="D116">
        <v>5</v>
      </c>
      <c r="E116" t="s">
        <v>67</v>
      </c>
      <c r="F116" t="s">
        <v>31</v>
      </c>
      <c r="G116">
        <v>0</v>
      </c>
      <c r="H116" t="s">
        <v>135</v>
      </c>
      <c r="I116" s="8">
        <v>4</v>
      </c>
      <c r="J116">
        <v>1</v>
      </c>
      <c r="K116" s="8">
        <v>4</v>
      </c>
      <c r="L116" s="12">
        <v>0</v>
      </c>
      <c r="M116" s="8" t="s">
        <v>136</v>
      </c>
      <c r="N116" t="s">
        <v>97</v>
      </c>
      <c r="O116" s="12">
        <v>12</v>
      </c>
      <c r="P116" s="2">
        <v>2016</v>
      </c>
      <c r="Q116">
        <v>25</v>
      </c>
      <c r="R116" s="36">
        <v>2.9537037037037039E-2</v>
      </c>
    </row>
    <row r="117" spans="1:18" x14ac:dyDescent="0.25">
      <c r="A117">
        <v>116</v>
      </c>
      <c r="B117" s="9">
        <v>42729</v>
      </c>
      <c r="C117" s="7">
        <v>42</v>
      </c>
      <c r="D117">
        <v>2</v>
      </c>
      <c r="E117" t="s">
        <v>65</v>
      </c>
      <c r="F117" t="s">
        <v>61</v>
      </c>
      <c r="G117">
        <v>0</v>
      </c>
      <c r="H117" t="s">
        <v>135</v>
      </c>
      <c r="I117" s="8">
        <v>3.5</v>
      </c>
      <c r="J117">
        <v>3</v>
      </c>
      <c r="K117" s="8">
        <v>10.5</v>
      </c>
      <c r="L117" s="12">
        <v>0</v>
      </c>
      <c r="M117" s="8" t="s">
        <v>136</v>
      </c>
      <c r="N117" t="s">
        <v>97</v>
      </c>
      <c r="O117" s="12">
        <v>12</v>
      </c>
      <c r="P117" s="2">
        <v>2016</v>
      </c>
      <c r="Q117">
        <v>25</v>
      </c>
      <c r="R117" s="36">
        <v>2.9537037037037039E-2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Q43"/>
  <sheetViews>
    <sheetView topLeftCell="C1" zoomScale="90" zoomScaleNormal="90" workbookViewId="0">
      <pane ySplit="1" topLeftCell="A26" activePane="bottomLeft" state="frozen"/>
      <selection activeCell="C1" sqref="C1"/>
      <selection pane="bottomLeft" activeCell="J25" sqref="J25"/>
    </sheetView>
  </sheetViews>
  <sheetFormatPr defaultRowHeight="15" x14ac:dyDescent="0.25"/>
  <cols>
    <col min="1" max="1" width="13.7109375" style="12" customWidth="1"/>
    <col min="2" max="2" width="12" style="13" customWidth="1"/>
    <col min="3" max="3" width="12.28515625" style="14" customWidth="1"/>
    <col min="4" max="4" width="16.140625" style="16" customWidth="1"/>
    <col min="5" max="5" width="11.7109375" bestFit="1" customWidth="1"/>
    <col min="6" max="6" width="23.7109375" customWidth="1"/>
    <col min="7" max="7" width="6.140625" style="15" bestFit="1" customWidth="1"/>
    <col min="8" max="8" width="14.42578125" style="18" bestFit="1" customWidth="1"/>
    <col min="9" max="9" width="17.42578125" customWidth="1"/>
    <col min="10" max="10" width="15" style="8" bestFit="1" customWidth="1"/>
    <col min="11" max="11" width="14" style="8" bestFit="1" customWidth="1"/>
    <col min="12" max="12" width="20.28515625" bestFit="1" customWidth="1"/>
    <col min="13" max="13" width="10.5703125" style="19" customWidth="1"/>
    <col min="14" max="14" width="4.140625" style="2" bestFit="1" customWidth="1"/>
    <col min="15" max="15" width="9.140625" style="12" bestFit="1" customWidth="1"/>
    <col min="16" max="16" width="10.140625" style="21" bestFit="1" customWidth="1"/>
    <col min="17" max="17" width="18.28515625" bestFit="1" customWidth="1"/>
  </cols>
  <sheetData>
    <row r="1" spans="1:17" s="35" customFormat="1" ht="30" x14ac:dyDescent="0.25">
      <c r="A1" s="24" t="s">
        <v>20</v>
      </c>
      <c r="B1" s="25" t="s">
        <v>100</v>
      </c>
      <c r="C1" s="26" t="s">
        <v>17</v>
      </c>
      <c r="D1" s="23" t="s">
        <v>149</v>
      </c>
      <c r="E1" s="26" t="s">
        <v>25</v>
      </c>
      <c r="F1" s="27" t="s">
        <v>104</v>
      </c>
      <c r="G1" s="28" t="s">
        <v>105</v>
      </c>
      <c r="H1" s="29" t="s">
        <v>107</v>
      </c>
      <c r="I1" s="30" t="s">
        <v>110</v>
      </c>
      <c r="J1" s="31" t="s">
        <v>109</v>
      </c>
      <c r="K1" s="31" t="s">
        <v>111</v>
      </c>
      <c r="L1" s="27" t="s">
        <v>108</v>
      </c>
      <c r="M1" s="32" t="s">
        <v>112</v>
      </c>
      <c r="N1" s="33" t="s">
        <v>117</v>
      </c>
      <c r="O1" s="24" t="s">
        <v>101</v>
      </c>
      <c r="P1" s="34" t="s">
        <v>132</v>
      </c>
      <c r="Q1" s="34" t="s">
        <v>137</v>
      </c>
    </row>
    <row r="2" spans="1:17" x14ac:dyDescent="0.25">
      <c r="A2" s="12">
        <v>1</v>
      </c>
      <c r="B2" s="13">
        <v>0</v>
      </c>
      <c r="C2" s="14" t="s">
        <v>136</v>
      </c>
      <c r="D2" s="16">
        <f>SUMIFS(FLUXOVENDA!K:K,FLUXOVENDA!C:C,CODVENDA!A2,FLUXOVENDA!N:N,CONFIG!$G$5)</f>
        <v>0</v>
      </c>
      <c r="E2" t="s">
        <v>129</v>
      </c>
      <c r="F2" t="s">
        <v>136</v>
      </c>
      <c r="G2" s="15">
        <v>9.9062499999999998E-2</v>
      </c>
      <c r="I2" t="s">
        <v>131</v>
      </c>
      <c r="J2" s="8">
        <v>0.35</v>
      </c>
      <c r="K2" s="8">
        <v>3.85</v>
      </c>
      <c r="L2" t="s">
        <v>119</v>
      </c>
      <c r="M2" s="19">
        <v>42728</v>
      </c>
      <c r="N2" s="2">
        <v>24</v>
      </c>
      <c r="O2" s="12">
        <v>12</v>
      </c>
      <c r="P2" s="21">
        <v>3.5</v>
      </c>
      <c r="Q2" t="s">
        <v>138</v>
      </c>
    </row>
    <row r="3" spans="1:17" x14ac:dyDescent="0.25">
      <c r="A3" s="12">
        <v>2</v>
      </c>
      <c r="B3" s="13">
        <v>0</v>
      </c>
      <c r="C3" s="14" t="s">
        <v>136</v>
      </c>
      <c r="D3" s="16">
        <f>SUMIFS(FLUXOVENDA!K:K,FLUXOVENDA!C:C,CODVENDA!A3,FLUXOVENDA!N:N,CONFIG!$G$5)</f>
        <v>0</v>
      </c>
      <c r="E3" t="s">
        <v>129</v>
      </c>
      <c r="F3" t="s">
        <v>136</v>
      </c>
      <c r="G3" s="15">
        <v>0.10372685185185186</v>
      </c>
      <c r="I3" t="s">
        <v>131</v>
      </c>
      <c r="J3" s="8">
        <v>1.05</v>
      </c>
      <c r="K3" s="8">
        <v>11.55</v>
      </c>
      <c r="L3" t="s">
        <v>120</v>
      </c>
      <c r="M3" s="19">
        <v>42728</v>
      </c>
      <c r="N3" s="2">
        <v>24</v>
      </c>
      <c r="O3" s="12">
        <v>12</v>
      </c>
      <c r="P3" s="21">
        <v>10.5</v>
      </c>
      <c r="Q3" t="s">
        <v>139</v>
      </c>
    </row>
    <row r="4" spans="1:17" x14ac:dyDescent="0.25">
      <c r="A4" s="12">
        <v>3</v>
      </c>
      <c r="B4" s="13">
        <v>1</v>
      </c>
      <c r="C4" s="14" t="s">
        <v>34</v>
      </c>
      <c r="D4" s="16">
        <f>SUMIFS(FLUXOVENDA!K:K,FLUXOVENDA!C:C,CODVENDA!A4,FLUXOVENDA!N:N,CONFIG!$G$2)</f>
        <v>0</v>
      </c>
      <c r="E4" t="s">
        <v>129</v>
      </c>
      <c r="F4" t="s">
        <v>55</v>
      </c>
      <c r="G4" s="15">
        <v>0.10502314814814816</v>
      </c>
      <c r="H4" s="18">
        <v>0.10564814814814816</v>
      </c>
      <c r="I4" t="s">
        <v>131</v>
      </c>
      <c r="J4" s="8">
        <v>2.4500000000000002</v>
      </c>
      <c r="K4" s="8">
        <v>26.95</v>
      </c>
      <c r="L4" t="s">
        <v>119</v>
      </c>
      <c r="M4" s="19">
        <v>42728</v>
      </c>
      <c r="N4" s="2">
        <v>24</v>
      </c>
      <c r="O4" s="12">
        <v>12</v>
      </c>
      <c r="P4" s="21">
        <v>24.5</v>
      </c>
      <c r="Q4" t="s">
        <v>140</v>
      </c>
    </row>
    <row r="5" spans="1:17" x14ac:dyDescent="0.25">
      <c r="A5" s="12">
        <v>4</v>
      </c>
      <c r="B5" s="13">
        <v>3</v>
      </c>
      <c r="C5" s="14" t="s">
        <v>36</v>
      </c>
      <c r="D5" s="16">
        <f>SUMIFS(FLUXOVENDA!K:K,FLUXOVENDA!C:C,CODVENDA!A5,FLUXOVENDA!N:N,CONFIG!$G$2)</f>
        <v>0</v>
      </c>
      <c r="E5" t="s">
        <v>129</v>
      </c>
      <c r="F5" t="s">
        <v>60</v>
      </c>
      <c r="G5" s="15">
        <v>0.10613425925925928</v>
      </c>
      <c r="I5" t="s">
        <v>130</v>
      </c>
      <c r="J5" s="8">
        <v>0</v>
      </c>
      <c r="K5" s="8">
        <v>4</v>
      </c>
      <c r="L5" t="s">
        <v>120</v>
      </c>
      <c r="M5" s="19">
        <v>42728</v>
      </c>
      <c r="N5" s="2">
        <v>24</v>
      </c>
      <c r="O5" s="12">
        <v>12</v>
      </c>
      <c r="P5" s="21">
        <v>4</v>
      </c>
    </row>
    <row r="6" spans="1:17" x14ac:dyDescent="0.25">
      <c r="A6" s="12">
        <v>5</v>
      </c>
      <c r="B6" s="13">
        <v>0</v>
      </c>
      <c r="C6" s="14" t="s">
        <v>136</v>
      </c>
      <c r="D6" s="16">
        <f>SUMIFS(FLUXOVENDA!K:K,FLUXOVENDA!C:C,CODVENDA!A6,FLUXOVENDA!N:N,CONFIG!$G$5)</f>
        <v>0</v>
      </c>
      <c r="E6" t="s">
        <v>129</v>
      </c>
      <c r="F6" t="s">
        <v>136</v>
      </c>
      <c r="G6" s="15">
        <v>0.10636574074074073</v>
      </c>
      <c r="I6" t="s">
        <v>131</v>
      </c>
      <c r="J6" s="8">
        <v>1.4</v>
      </c>
      <c r="K6" s="8">
        <v>15.4</v>
      </c>
      <c r="L6" t="s">
        <v>119</v>
      </c>
      <c r="M6" s="19">
        <v>42728</v>
      </c>
      <c r="N6" s="2">
        <v>24</v>
      </c>
      <c r="O6" s="12">
        <v>12</v>
      </c>
      <c r="P6" s="21">
        <v>14</v>
      </c>
      <c r="Q6" t="s">
        <v>141</v>
      </c>
    </row>
    <row r="7" spans="1:17" x14ac:dyDescent="0.25">
      <c r="A7" s="12">
        <v>6</v>
      </c>
      <c r="B7" s="13">
        <v>0</v>
      </c>
      <c r="C7" s="14" t="s">
        <v>136</v>
      </c>
      <c r="D7" s="16">
        <f>SUMIFS(FLUXOVENDA!K:K,FLUXOVENDA!C:C,CODVENDA!A7,FLUXOVENDA!N:N,CONFIG!$G$5)</f>
        <v>0</v>
      </c>
      <c r="E7" t="s">
        <v>129</v>
      </c>
      <c r="F7" t="s">
        <v>136</v>
      </c>
      <c r="G7" s="15">
        <v>0.10665509259259259</v>
      </c>
      <c r="I7" t="s">
        <v>130</v>
      </c>
      <c r="J7" s="8">
        <v>0</v>
      </c>
      <c r="K7" s="8">
        <v>4</v>
      </c>
      <c r="L7" t="s">
        <v>119</v>
      </c>
      <c r="M7" s="19">
        <v>42728</v>
      </c>
      <c r="N7" s="2">
        <v>24</v>
      </c>
      <c r="O7" s="12">
        <v>12</v>
      </c>
      <c r="P7" s="21">
        <v>4</v>
      </c>
      <c r="Q7" t="s">
        <v>142</v>
      </c>
    </row>
    <row r="8" spans="1:17" x14ac:dyDescent="0.25">
      <c r="A8" s="12">
        <v>7</v>
      </c>
      <c r="B8" s="13">
        <v>2</v>
      </c>
      <c r="C8" s="14" t="s">
        <v>35</v>
      </c>
      <c r="D8" s="16">
        <f>SUMIFS(FLUXOVENDA!K:K,FLUXOVENDA!C:C,CODVENDA!A8,FLUXOVENDA!N:N,CONFIG!$G$2)</f>
        <v>0</v>
      </c>
      <c r="E8" t="s">
        <v>129</v>
      </c>
      <c r="F8" t="s">
        <v>55</v>
      </c>
      <c r="G8" s="15">
        <v>0.11787037037037036</v>
      </c>
      <c r="H8" s="18">
        <v>0.11811342592592593</v>
      </c>
      <c r="I8" t="s">
        <v>131</v>
      </c>
      <c r="J8" s="8">
        <v>2.4500000000000002</v>
      </c>
      <c r="K8" s="8">
        <v>26.95</v>
      </c>
      <c r="L8" t="s">
        <v>120</v>
      </c>
      <c r="M8" s="19">
        <v>42728</v>
      </c>
      <c r="N8" s="2">
        <v>24</v>
      </c>
      <c r="O8" s="12">
        <v>12</v>
      </c>
      <c r="P8" s="21">
        <v>24.5</v>
      </c>
      <c r="Q8" t="s">
        <v>141</v>
      </c>
    </row>
    <row r="9" spans="1:17" x14ac:dyDescent="0.25">
      <c r="A9" s="12">
        <v>8</v>
      </c>
      <c r="B9" s="13">
        <v>2</v>
      </c>
      <c r="C9" s="14" t="s">
        <v>35</v>
      </c>
      <c r="D9" s="16">
        <f>SUMIFS(FLUXOVENDA!K:K,FLUXOVENDA!C:C,CODVENDA!A9,FLUXOVENDA!N:N,CONFIG!$G$2)</f>
        <v>0</v>
      </c>
      <c r="E9" t="s">
        <v>129</v>
      </c>
      <c r="F9" t="s">
        <v>55</v>
      </c>
      <c r="G9" s="15">
        <v>0.1185648148148148</v>
      </c>
      <c r="H9" s="18">
        <v>0.11875000000000001</v>
      </c>
      <c r="I9" t="s">
        <v>131</v>
      </c>
      <c r="J9" s="8">
        <v>0.7</v>
      </c>
      <c r="K9" s="8">
        <v>7.7</v>
      </c>
      <c r="L9" t="s">
        <v>126</v>
      </c>
      <c r="M9" s="19">
        <v>42728</v>
      </c>
      <c r="N9" s="2">
        <v>24</v>
      </c>
      <c r="O9" s="12">
        <v>12</v>
      </c>
      <c r="P9" s="21">
        <v>7</v>
      </c>
    </row>
    <row r="10" spans="1:17" x14ac:dyDescent="0.25">
      <c r="A10" s="12">
        <v>9</v>
      </c>
      <c r="B10" s="13">
        <v>0</v>
      </c>
      <c r="C10" s="14" t="s">
        <v>136</v>
      </c>
      <c r="D10" s="16">
        <f>SUMIFS(FLUXOVENDA!K:K,FLUXOVENDA!C:C,CODVENDA!A10,FLUXOVENDA!N:N,CONFIG!$G$5)</f>
        <v>0</v>
      </c>
      <c r="E10" t="s">
        <v>129</v>
      </c>
      <c r="F10" t="s">
        <v>136</v>
      </c>
      <c r="G10" s="15">
        <v>0.11887731481481482</v>
      </c>
      <c r="I10" t="s">
        <v>130</v>
      </c>
      <c r="J10" s="8">
        <v>0</v>
      </c>
      <c r="K10" s="8">
        <v>14</v>
      </c>
      <c r="L10" t="s">
        <v>120</v>
      </c>
      <c r="M10" s="19">
        <v>42728</v>
      </c>
      <c r="N10" s="2">
        <v>24</v>
      </c>
      <c r="O10" s="12">
        <v>12</v>
      </c>
      <c r="P10" s="21">
        <v>14</v>
      </c>
      <c r="Q10" t="s">
        <v>144</v>
      </c>
    </row>
    <row r="11" spans="1:17" x14ac:dyDescent="0.25">
      <c r="A11" s="12">
        <v>10</v>
      </c>
      <c r="B11" s="13">
        <v>0</v>
      </c>
      <c r="C11" s="14" t="s">
        <v>136</v>
      </c>
      <c r="D11" s="16">
        <f>SUMIFS(FLUXOVENDA!K:K,FLUXOVENDA!C:C,CODVENDA!A11,FLUXOVENDA!N:N,CONFIG!$G$5)</f>
        <v>0</v>
      </c>
      <c r="E11" t="s">
        <v>129</v>
      </c>
      <c r="F11" t="s">
        <v>136</v>
      </c>
      <c r="G11" s="15">
        <v>0.12420138888888889</v>
      </c>
      <c r="H11" s="18">
        <v>0.12474537037037037</v>
      </c>
      <c r="I11" t="s">
        <v>131</v>
      </c>
      <c r="J11" s="8">
        <v>1.3</v>
      </c>
      <c r="K11" s="8">
        <v>14.3</v>
      </c>
      <c r="L11" t="s">
        <v>119</v>
      </c>
      <c r="M11" s="19">
        <v>42728</v>
      </c>
      <c r="N11" s="2">
        <v>24</v>
      </c>
      <c r="O11" s="12">
        <v>12</v>
      </c>
      <c r="P11" s="21">
        <v>13</v>
      </c>
      <c r="Q11" t="s">
        <v>145</v>
      </c>
    </row>
    <row r="12" spans="1:17" x14ac:dyDescent="0.25">
      <c r="A12" s="12">
        <v>11</v>
      </c>
      <c r="B12" s="13">
        <v>2</v>
      </c>
      <c r="C12" s="14" t="s">
        <v>35</v>
      </c>
      <c r="D12" s="16">
        <f>SUMIFS(FLUXOVENDA!K:K,FLUXOVENDA!C:C,CODVENDA!A12,FLUXOVENDA!N:N,CONFIG!$G$2)</f>
        <v>0</v>
      </c>
      <c r="E12" t="s">
        <v>129</v>
      </c>
      <c r="F12" t="s">
        <v>58</v>
      </c>
      <c r="G12" s="15">
        <v>0.12438657407407407</v>
      </c>
      <c r="I12" t="s">
        <v>131</v>
      </c>
      <c r="J12" s="8">
        <v>0.35</v>
      </c>
      <c r="K12" s="8">
        <v>3.85</v>
      </c>
      <c r="L12" t="s">
        <v>119</v>
      </c>
      <c r="M12" s="19">
        <v>42728</v>
      </c>
      <c r="N12" s="2">
        <v>24</v>
      </c>
      <c r="O12" s="12">
        <v>12</v>
      </c>
      <c r="P12" s="21">
        <v>3.5</v>
      </c>
    </row>
    <row r="13" spans="1:17" x14ac:dyDescent="0.25">
      <c r="A13" s="12">
        <v>12</v>
      </c>
      <c r="B13" s="13">
        <v>6</v>
      </c>
      <c r="C13" s="14" t="s">
        <v>39</v>
      </c>
      <c r="D13" s="16">
        <f>SUMIFS(FLUXOVENDA!K:K,FLUXOVENDA!C:C,CODVENDA!A13,FLUXOVENDA!N:N,CONFIG!$G$2)</f>
        <v>0</v>
      </c>
      <c r="E13" t="s">
        <v>129</v>
      </c>
      <c r="F13" t="s">
        <v>55</v>
      </c>
      <c r="G13" s="15">
        <v>0.12520833333333334</v>
      </c>
      <c r="H13" s="18">
        <v>0.1254861111111111</v>
      </c>
      <c r="I13" t="s">
        <v>130</v>
      </c>
      <c r="J13" s="8">
        <v>0</v>
      </c>
      <c r="K13" s="8">
        <v>28.5</v>
      </c>
      <c r="L13" t="s">
        <v>119</v>
      </c>
      <c r="M13" s="19">
        <v>42728</v>
      </c>
      <c r="N13" s="2">
        <v>24</v>
      </c>
      <c r="O13" s="12">
        <v>12</v>
      </c>
      <c r="P13" s="21">
        <v>28.5</v>
      </c>
    </row>
    <row r="14" spans="1:17" x14ac:dyDescent="0.25">
      <c r="A14" s="12">
        <v>13</v>
      </c>
      <c r="B14" s="13">
        <v>2</v>
      </c>
      <c r="C14" s="14" t="s">
        <v>35</v>
      </c>
      <c r="D14" s="16">
        <f>SUMIFS(FLUXOVENDA!K:K,FLUXOVENDA!C:C,CODVENDA!A14,FLUXOVENDA!N:N,CONFIG!$G$2)</f>
        <v>0</v>
      </c>
      <c r="E14" t="s">
        <v>129</v>
      </c>
      <c r="F14" t="s">
        <v>59</v>
      </c>
      <c r="G14" s="15">
        <v>0.12606481481481482</v>
      </c>
      <c r="H14" s="18">
        <v>0.12606481481481482</v>
      </c>
      <c r="I14" t="s">
        <v>131</v>
      </c>
      <c r="J14" s="8">
        <v>1.3</v>
      </c>
      <c r="K14" s="8">
        <v>14.3</v>
      </c>
      <c r="L14" t="s">
        <v>119</v>
      </c>
      <c r="M14" s="19">
        <v>42728</v>
      </c>
      <c r="N14" s="2">
        <v>24</v>
      </c>
      <c r="O14" s="12">
        <v>12</v>
      </c>
      <c r="P14" s="21">
        <v>13</v>
      </c>
      <c r="Q14" t="s">
        <v>106</v>
      </c>
    </row>
    <row r="15" spans="1:17" x14ac:dyDescent="0.25">
      <c r="A15" s="12">
        <v>14</v>
      </c>
      <c r="B15" s="13">
        <v>1</v>
      </c>
      <c r="C15" s="14" t="s">
        <v>34</v>
      </c>
      <c r="D15" s="16">
        <f>SUMIFS(FLUXOVENDA!K:K,FLUXOVENDA!C:C,CODVENDA!A15,FLUXOVENDA!N:N,CONFIG!$G$2)</f>
        <v>0</v>
      </c>
      <c r="E15" t="s">
        <v>129</v>
      </c>
      <c r="F15" t="s">
        <v>55</v>
      </c>
      <c r="G15" s="15">
        <v>0.12791666666666665</v>
      </c>
      <c r="I15" t="s">
        <v>131</v>
      </c>
      <c r="J15" s="8">
        <v>0.35</v>
      </c>
      <c r="K15" s="8">
        <v>3.85</v>
      </c>
      <c r="L15" t="s">
        <v>119</v>
      </c>
      <c r="M15" s="19">
        <v>42728</v>
      </c>
      <c r="N15" s="2">
        <v>24</v>
      </c>
      <c r="O15" s="12">
        <v>12</v>
      </c>
      <c r="P15" s="21">
        <v>3.5</v>
      </c>
    </row>
    <row r="16" spans="1:17" x14ac:dyDescent="0.25">
      <c r="A16" s="12">
        <v>15</v>
      </c>
      <c r="B16" s="13">
        <v>3</v>
      </c>
      <c r="C16" s="14" t="s">
        <v>36</v>
      </c>
      <c r="D16" s="16">
        <f>SUMIFS(FLUXOVENDA!K:K,FLUXOVENDA!C:C,CODVENDA!A16,FLUXOVENDA!N:N,CONFIG!$G$2)</f>
        <v>0</v>
      </c>
      <c r="E16" t="s">
        <v>129</v>
      </c>
      <c r="F16" t="s">
        <v>58</v>
      </c>
      <c r="G16" s="15">
        <v>0.12812500000000002</v>
      </c>
      <c r="I16" t="s">
        <v>130</v>
      </c>
      <c r="J16" s="8">
        <v>0</v>
      </c>
      <c r="K16" s="8">
        <v>3.5</v>
      </c>
      <c r="L16" t="s">
        <v>119</v>
      </c>
      <c r="M16" s="19">
        <v>42728</v>
      </c>
      <c r="N16" s="2">
        <v>24</v>
      </c>
      <c r="O16" s="12">
        <v>12</v>
      </c>
      <c r="P16" s="21">
        <v>3.5</v>
      </c>
    </row>
    <row r="17" spans="1:17" x14ac:dyDescent="0.25">
      <c r="A17" s="12">
        <v>16</v>
      </c>
      <c r="B17" s="13">
        <v>1</v>
      </c>
      <c r="C17" s="14" t="s">
        <v>34</v>
      </c>
      <c r="D17" s="16">
        <f>SUMIFS(FLUXOVENDA!K:K,FLUXOVENDA!C:C,CODVENDA!A17,FLUXOVENDA!N:N,CONFIG!$G$2)</f>
        <v>0</v>
      </c>
      <c r="E17" t="s">
        <v>129</v>
      </c>
      <c r="F17" t="s">
        <v>55</v>
      </c>
      <c r="G17" s="15">
        <v>0.1285185185185185</v>
      </c>
      <c r="H17" s="18">
        <v>0.1285185185185185</v>
      </c>
      <c r="I17" t="s">
        <v>131</v>
      </c>
      <c r="J17" s="8">
        <v>1.05</v>
      </c>
      <c r="K17" s="8">
        <v>11.55</v>
      </c>
      <c r="L17" t="s">
        <v>120</v>
      </c>
      <c r="M17" s="19">
        <v>42728</v>
      </c>
      <c r="N17" s="2">
        <v>24</v>
      </c>
      <c r="O17" s="12">
        <v>12</v>
      </c>
      <c r="P17" s="21">
        <v>10.5</v>
      </c>
      <c r="Q17" t="s">
        <v>106</v>
      </c>
    </row>
    <row r="18" spans="1:17" x14ac:dyDescent="0.25">
      <c r="A18" s="12">
        <v>17</v>
      </c>
      <c r="B18" s="13">
        <v>0</v>
      </c>
      <c r="C18" s="14" t="s">
        <v>136</v>
      </c>
      <c r="D18" s="16">
        <f>SUMIFS(FLUXOVENDA!K:K,FLUXOVENDA!C:C,CODVENDA!A18,FLUXOVENDA!N:N,CONFIG!$G$5)</f>
        <v>0</v>
      </c>
      <c r="E18" t="s">
        <v>129</v>
      </c>
      <c r="F18" t="s">
        <v>136</v>
      </c>
      <c r="G18" s="15">
        <v>0.12964120370370372</v>
      </c>
      <c r="I18" t="s">
        <v>131</v>
      </c>
      <c r="J18" s="8">
        <v>1.75</v>
      </c>
      <c r="K18" s="8">
        <v>19.25</v>
      </c>
      <c r="L18" t="s">
        <v>119</v>
      </c>
      <c r="M18" s="19">
        <v>42728</v>
      </c>
      <c r="N18" s="2">
        <v>24</v>
      </c>
      <c r="O18" s="12">
        <v>12</v>
      </c>
      <c r="P18" s="21">
        <v>17.5</v>
      </c>
      <c r="Q18" t="s">
        <v>144</v>
      </c>
    </row>
    <row r="19" spans="1:17" x14ac:dyDescent="0.25">
      <c r="A19" s="12">
        <v>18</v>
      </c>
      <c r="B19" s="13">
        <v>1</v>
      </c>
      <c r="C19" s="14" t="s">
        <v>34</v>
      </c>
      <c r="D19" s="16">
        <f>SUMIFS(FLUXOVENDA!K:K,FLUXOVENDA!C:C,CODVENDA!A19,FLUXOVENDA!N:N,CONFIG!$G$2)</f>
        <v>0</v>
      </c>
      <c r="E19" t="s">
        <v>129</v>
      </c>
      <c r="F19" t="s">
        <v>59</v>
      </c>
      <c r="G19" s="15">
        <v>0.44331018518518522</v>
      </c>
      <c r="H19" s="18">
        <v>0.44331018518518522</v>
      </c>
      <c r="I19" t="s">
        <v>131</v>
      </c>
      <c r="J19" s="8">
        <v>4.6500000000000004</v>
      </c>
      <c r="K19" s="8">
        <v>51.15</v>
      </c>
      <c r="L19" t="s">
        <v>119</v>
      </c>
      <c r="M19" s="19">
        <v>42728</v>
      </c>
      <c r="N19" s="2">
        <v>24</v>
      </c>
      <c r="O19" s="12">
        <v>12</v>
      </c>
      <c r="P19" s="21">
        <v>46.5</v>
      </c>
      <c r="Q19" t="s">
        <v>148</v>
      </c>
    </row>
    <row r="20" spans="1:17" x14ac:dyDescent="0.25">
      <c r="A20" s="12">
        <v>19</v>
      </c>
      <c r="B20" s="13">
        <v>3</v>
      </c>
      <c r="C20" s="14" t="s">
        <v>36</v>
      </c>
      <c r="D20" s="16">
        <f>SUMIFS(FLUXOVENDA!K:K,FLUXOVENDA!C:C,CODVENDA!A20,FLUXOVENDA!N:N,CONFIG!$G$2)</f>
        <v>0</v>
      </c>
      <c r="E20" t="s">
        <v>129</v>
      </c>
      <c r="F20" t="s">
        <v>58</v>
      </c>
      <c r="G20" s="15">
        <v>0.41006944444444443</v>
      </c>
      <c r="H20" s="18">
        <v>0.43947916666666664</v>
      </c>
      <c r="I20" t="s">
        <v>131</v>
      </c>
      <c r="J20" s="8">
        <v>1.1000000000000001</v>
      </c>
      <c r="K20" s="8">
        <v>12.1</v>
      </c>
      <c r="L20" t="s">
        <v>126</v>
      </c>
      <c r="M20" s="19">
        <v>42728</v>
      </c>
      <c r="N20" s="2">
        <v>24</v>
      </c>
      <c r="O20" s="12">
        <v>12</v>
      </c>
      <c r="P20" s="21">
        <v>11</v>
      </c>
    </row>
    <row r="21" spans="1:17" x14ac:dyDescent="0.25">
      <c r="A21" s="12">
        <v>20</v>
      </c>
      <c r="B21" s="13">
        <v>0</v>
      </c>
      <c r="C21" s="14" t="s">
        <v>136</v>
      </c>
      <c r="D21" s="16">
        <f>SUMIFS(FLUXOVENDA!K:K,FLUXOVENDA!C:C,CODVENDA!A21,FLUXOVENDA!N:N,CONFIG!$G$5)</f>
        <v>0</v>
      </c>
      <c r="E21" t="s">
        <v>129</v>
      </c>
      <c r="F21" t="s">
        <v>136</v>
      </c>
      <c r="G21" s="15">
        <v>0.44556712962962958</v>
      </c>
      <c r="H21" s="18">
        <v>0.4463078703703704</v>
      </c>
      <c r="I21" t="s">
        <v>131</v>
      </c>
      <c r="J21" s="8">
        <v>24</v>
      </c>
      <c r="K21" s="8">
        <v>264</v>
      </c>
      <c r="L21" t="s">
        <v>119</v>
      </c>
      <c r="M21" s="19">
        <v>42728</v>
      </c>
      <c r="N21" s="2">
        <v>24</v>
      </c>
      <c r="O21" s="12">
        <v>12</v>
      </c>
      <c r="P21" s="21">
        <v>240</v>
      </c>
      <c r="Q21" t="s">
        <v>138</v>
      </c>
    </row>
    <row r="22" spans="1:17" x14ac:dyDescent="0.25">
      <c r="A22" s="12">
        <v>21</v>
      </c>
      <c r="B22" s="13">
        <v>0</v>
      </c>
      <c r="C22" s="14" t="s">
        <v>136</v>
      </c>
      <c r="D22" s="16">
        <f>SUMIFS(FLUXOVENDA!K:K,FLUXOVENDA!C:C,CODVENDA!A22,FLUXOVENDA!N:N,CONFIG!$G$5)</f>
        <v>0</v>
      </c>
      <c r="E22" t="s">
        <v>129</v>
      </c>
      <c r="F22" t="s">
        <v>136</v>
      </c>
      <c r="G22" s="15">
        <v>0.5159259259259259</v>
      </c>
      <c r="I22" t="s">
        <v>130</v>
      </c>
      <c r="J22" s="8">
        <v>0</v>
      </c>
      <c r="K22" s="8">
        <v>3.5</v>
      </c>
      <c r="L22" t="s">
        <v>119</v>
      </c>
      <c r="M22" s="19">
        <v>42728</v>
      </c>
      <c r="N22" s="2">
        <v>24</v>
      </c>
      <c r="O22" s="12">
        <v>12</v>
      </c>
      <c r="P22" s="21">
        <v>3.5</v>
      </c>
    </row>
    <row r="23" spans="1:17" x14ac:dyDescent="0.25">
      <c r="A23" s="12">
        <v>22</v>
      </c>
      <c r="B23" s="13">
        <v>0</v>
      </c>
      <c r="C23" s="14" t="s">
        <v>136</v>
      </c>
      <c r="D23" s="16">
        <f>SUMIFS(FLUXOVENDA!K:K,FLUXOVENDA!C:C,CODVENDA!A23,FLUXOVENDA!N:N,CONFIG!$G$5)</f>
        <v>0</v>
      </c>
      <c r="E23" t="s">
        <v>129</v>
      </c>
      <c r="F23" t="s">
        <v>136</v>
      </c>
      <c r="G23" s="15">
        <v>0.51785879629629628</v>
      </c>
      <c r="I23" t="s">
        <v>130</v>
      </c>
      <c r="J23" s="8">
        <v>0</v>
      </c>
      <c r="K23" s="8">
        <v>10.5</v>
      </c>
      <c r="L23" t="s">
        <v>119</v>
      </c>
      <c r="M23" s="19">
        <v>42728</v>
      </c>
      <c r="N23" s="2">
        <v>24</v>
      </c>
      <c r="O23" s="12">
        <v>12</v>
      </c>
      <c r="P23" s="21">
        <v>10.5</v>
      </c>
    </row>
    <row r="24" spans="1:17" x14ac:dyDescent="0.25">
      <c r="A24" s="12">
        <v>23</v>
      </c>
      <c r="B24" s="13">
        <v>0</v>
      </c>
      <c r="C24" s="14" t="s">
        <v>136</v>
      </c>
      <c r="D24" s="16">
        <f>SUMIFS(FLUXOVENDA!K:K,FLUXOVENDA!C:C,CODVENDA!A24,FLUXOVENDA!N:N,CONFIG!$G$5)</f>
        <v>0</v>
      </c>
      <c r="E24" t="s">
        <v>129</v>
      </c>
      <c r="F24" t="s">
        <v>136</v>
      </c>
      <c r="G24" s="15">
        <v>0.51943287037037034</v>
      </c>
      <c r="I24" t="s">
        <v>131</v>
      </c>
      <c r="J24" s="8">
        <v>1.1000000000000001</v>
      </c>
      <c r="K24" s="8">
        <v>12.1</v>
      </c>
      <c r="L24" t="s">
        <v>120</v>
      </c>
      <c r="M24" s="19">
        <v>42728</v>
      </c>
      <c r="N24" s="2">
        <v>24</v>
      </c>
      <c r="O24" s="12">
        <v>12</v>
      </c>
      <c r="P24" s="21">
        <v>11</v>
      </c>
    </row>
    <row r="25" spans="1:17" x14ac:dyDescent="0.25">
      <c r="A25" s="12">
        <v>24</v>
      </c>
      <c r="B25" s="13">
        <v>0</v>
      </c>
      <c r="C25" s="14" t="s">
        <v>136</v>
      </c>
      <c r="D25" s="16">
        <f>SUMIFS(FLUXOVENDA!K:K,FLUXOVENDA!C:C,CODVENDA!A25,FLUXOVENDA!N:N,CONFIG!$G$5)</f>
        <v>0</v>
      </c>
      <c r="E25" t="s">
        <v>129</v>
      </c>
      <c r="F25" t="s">
        <v>136</v>
      </c>
      <c r="G25" s="15">
        <v>0.5239583333333333</v>
      </c>
      <c r="I25" t="s">
        <v>131</v>
      </c>
      <c r="J25" s="8">
        <v>4.8499999999999996</v>
      </c>
      <c r="K25" s="8">
        <v>53.35</v>
      </c>
      <c r="L25" t="s">
        <v>119</v>
      </c>
      <c r="M25" s="19">
        <v>42728</v>
      </c>
      <c r="N25" s="2">
        <v>24</v>
      </c>
      <c r="O25" s="12">
        <v>12</v>
      </c>
      <c r="P25" s="21">
        <v>48.5</v>
      </c>
    </row>
    <row r="26" spans="1:17" x14ac:dyDescent="0.25">
      <c r="A26" s="12">
        <v>25</v>
      </c>
      <c r="B26" s="13">
        <v>0</v>
      </c>
      <c r="C26" s="14" t="s">
        <v>136</v>
      </c>
      <c r="D26" s="16">
        <f>SUMIFS(FLUXOVENDA!K:K,FLUXOVENDA!C:C,CODVENDA!A26,FLUXOVENDA!N:N,CONFIG!$G$5)</f>
        <v>0</v>
      </c>
      <c r="E26" t="s">
        <v>129</v>
      </c>
      <c r="F26" t="s">
        <v>136</v>
      </c>
      <c r="G26" s="15">
        <v>0.52459490740740744</v>
      </c>
      <c r="I26" t="s">
        <v>131</v>
      </c>
      <c r="J26" s="8">
        <v>0.7</v>
      </c>
      <c r="K26" s="8">
        <v>7.7</v>
      </c>
      <c r="L26" t="s">
        <v>119</v>
      </c>
      <c r="M26" s="19">
        <v>42728</v>
      </c>
      <c r="N26" s="2">
        <v>24</v>
      </c>
      <c r="O26" s="12">
        <v>12</v>
      </c>
      <c r="P26" s="21">
        <v>7</v>
      </c>
    </row>
    <row r="27" spans="1:17" x14ac:dyDescent="0.25">
      <c r="A27" s="12">
        <v>26</v>
      </c>
      <c r="B27" s="13">
        <v>0</v>
      </c>
      <c r="C27" s="14" t="s">
        <v>136</v>
      </c>
      <c r="D27" s="16">
        <f>SUMIFS(FLUXOVENDA!K:K,FLUXOVENDA!C:C,CODVENDA!A27,FLUXOVENDA!N:N,CONFIG!$G$5)</f>
        <v>0</v>
      </c>
      <c r="E27" t="s">
        <v>129</v>
      </c>
      <c r="F27" t="s">
        <v>136</v>
      </c>
      <c r="G27" s="15">
        <v>0.52511574074074074</v>
      </c>
      <c r="H27" s="18">
        <v>0.52517361111111105</v>
      </c>
      <c r="I27" t="s">
        <v>131</v>
      </c>
      <c r="J27" s="8">
        <v>0.7</v>
      </c>
      <c r="K27" s="8">
        <v>7.7</v>
      </c>
      <c r="L27" t="s">
        <v>119</v>
      </c>
      <c r="M27" s="19">
        <v>42728</v>
      </c>
      <c r="N27" s="2">
        <v>24</v>
      </c>
      <c r="O27" s="12">
        <v>12</v>
      </c>
      <c r="P27" s="21">
        <v>7</v>
      </c>
      <c r="Q27" t="s">
        <v>106</v>
      </c>
    </row>
    <row r="28" spans="1:17" x14ac:dyDescent="0.25">
      <c r="A28" s="12">
        <v>27</v>
      </c>
      <c r="B28" s="13">
        <v>0</v>
      </c>
      <c r="C28" s="14" t="s">
        <v>136</v>
      </c>
      <c r="D28" s="16">
        <f>SUMIFS(FLUXOVENDA!K:K,FLUXOVENDA!C:C,CODVENDA!A28,FLUXOVENDA!N:N,CONFIG!$G$5)</f>
        <v>0</v>
      </c>
      <c r="E28" t="s">
        <v>129</v>
      </c>
      <c r="F28" t="s">
        <v>136</v>
      </c>
      <c r="G28" s="15">
        <v>0.55238425925925927</v>
      </c>
      <c r="I28" t="s">
        <v>131</v>
      </c>
      <c r="J28" s="8">
        <v>0.35</v>
      </c>
      <c r="K28" s="8">
        <v>3.85</v>
      </c>
      <c r="L28" t="s">
        <v>119</v>
      </c>
      <c r="M28" s="19">
        <v>42728</v>
      </c>
      <c r="N28" s="2">
        <v>24</v>
      </c>
      <c r="O28" s="12">
        <v>12</v>
      </c>
      <c r="P28" s="21">
        <v>3.5</v>
      </c>
    </row>
    <row r="29" spans="1:17" x14ac:dyDescent="0.25">
      <c r="A29" s="12">
        <v>28</v>
      </c>
      <c r="B29" s="13">
        <v>0</v>
      </c>
      <c r="C29" s="14" t="s">
        <v>136</v>
      </c>
      <c r="D29" s="16">
        <f>SUMIFS(FLUXOVENDA!K:K,FLUXOVENDA!C:C,CODVENDA!A29,FLUXOVENDA!N:N,CONFIG!$G$5)</f>
        <v>0</v>
      </c>
      <c r="E29" t="s">
        <v>129</v>
      </c>
      <c r="F29" t="s">
        <v>136</v>
      </c>
      <c r="G29" s="15">
        <v>0.55361111111111116</v>
      </c>
      <c r="I29" t="s">
        <v>131</v>
      </c>
      <c r="J29" s="8">
        <v>2.8</v>
      </c>
      <c r="K29" s="8">
        <v>30.8</v>
      </c>
      <c r="L29" t="s">
        <v>119</v>
      </c>
      <c r="M29" s="19">
        <v>42728</v>
      </c>
      <c r="N29" s="2">
        <v>24</v>
      </c>
      <c r="O29" s="12">
        <v>12</v>
      </c>
      <c r="P29" s="21">
        <v>28</v>
      </c>
    </row>
    <row r="30" spans="1:17" x14ac:dyDescent="0.25">
      <c r="A30" s="12">
        <v>29</v>
      </c>
      <c r="B30" s="13">
        <v>0</v>
      </c>
      <c r="C30" s="14" t="s">
        <v>136</v>
      </c>
      <c r="D30" s="16">
        <f>SUMIFS(FLUXOVENDA!K:K,FLUXOVENDA!C:C,CODVENDA!A30,FLUXOVENDA!N:N,CONFIG!$G$5)</f>
        <v>0</v>
      </c>
      <c r="E30" t="s">
        <v>129</v>
      </c>
      <c r="F30" t="s">
        <v>136</v>
      </c>
      <c r="G30" s="15">
        <v>0.5575</v>
      </c>
      <c r="I30" t="s">
        <v>130</v>
      </c>
      <c r="J30" s="8">
        <v>0</v>
      </c>
      <c r="K30" s="8">
        <v>60</v>
      </c>
      <c r="L30" t="s">
        <v>119</v>
      </c>
      <c r="M30" s="19">
        <v>42728</v>
      </c>
      <c r="N30" s="2">
        <v>24</v>
      </c>
      <c r="O30" s="12">
        <v>12</v>
      </c>
      <c r="P30" s="21">
        <v>60</v>
      </c>
    </row>
    <row r="31" spans="1:17" x14ac:dyDescent="0.25">
      <c r="A31" s="12">
        <v>30</v>
      </c>
      <c r="B31" s="13">
        <v>2</v>
      </c>
      <c r="C31" s="14" t="s">
        <v>35</v>
      </c>
      <c r="D31" s="16">
        <f>SUMIFS(FLUXOVENDA!K:K,FLUXOVENDA!C:C,CODVENDA!A31,FLUXOVENDA!N:N,CONFIG!$G$2)</f>
        <v>0</v>
      </c>
      <c r="E31" t="s">
        <v>129</v>
      </c>
      <c r="F31" t="s">
        <v>55</v>
      </c>
      <c r="G31" s="15">
        <v>0.66724537037037035</v>
      </c>
      <c r="H31" s="18">
        <v>0.66991898148148143</v>
      </c>
      <c r="I31" t="s">
        <v>131</v>
      </c>
      <c r="J31" s="8">
        <v>1.4</v>
      </c>
      <c r="K31" s="8">
        <v>15.4</v>
      </c>
      <c r="L31" t="s">
        <v>120</v>
      </c>
      <c r="M31" s="19">
        <v>42728</v>
      </c>
      <c r="N31" s="2">
        <v>24</v>
      </c>
      <c r="O31" s="12">
        <v>12</v>
      </c>
      <c r="P31" s="21">
        <v>14</v>
      </c>
      <c r="Q31" t="s">
        <v>106</v>
      </c>
    </row>
    <row r="32" spans="1:17" x14ac:dyDescent="0.25">
      <c r="A32" s="12">
        <v>31</v>
      </c>
      <c r="B32" s="13">
        <v>3</v>
      </c>
      <c r="C32" s="14" t="s">
        <v>36</v>
      </c>
      <c r="D32" s="16">
        <f>SUMIFS(FLUXOVENDA!K:K,FLUXOVENDA!C:C,CODVENDA!A32,FLUXOVENDA!N:N,CONFIG!$G$2)</f>
        <v>0</v>
      </c>
      <c r="E32" t="s">
        <v>129</v>
      </c>
      <c r="F32" t="s">
        <v>58</v>
      </c>
      <c r="G32" s="15">
        <v>0.66781250000000003</v>
      </c>
      <c r="H32" s="18">
        <v>0.83446759259259251</v>
      </c>
      <c r="I32" t="s">
        <v>130</v>
      </c>
      <c r="J32" s="8">
        <v>0</v>
      </c>
      <c r="K32" s="8">
        <v>39</v>
      </c>
      <c r="L32" t="s">
        <v>119</v>
      </c>
      <c r="M32" s="19">
        <v>42728</v>
      </c>
      <c r="N32" s="2">
        <v>24</v>
      </c>
      <c r="O32" s="12">
        <v>12</v>
      </c>
      <c r="P32" s="21">
        <v>39</v>
      </c>
      <c r="Q32" t="s">
        <v>106</v>
      </c>
    </row>
    <row r="33" spans="1:17" x14ac:dyDescent="0.25">
      <c r="A33" s="12">
        <v>32</v>
      </c>
      <c r="B33" s="13">
        <v>2</v>
      </c>
      <c r="C33" s="14" t="s">
        <v>35</v>
      </c>
      <c r="D33" s="16">
        <f>SUMIFS(FLUXOVENDA!K:K,FLUXOVENDA!C:C,CODVENDA!A33,FLUXOVENDA!N:N,CONFIG!$G$2)</f>
        <v>0</v>
      </c>
      <c r="E33" t="s">
        <v>129</v>
      </c>
      <c r="F33" t="s">
        <v>58</v>
      </c>
      <c r="G33" s="15">
        <v>0.67047453703703708</v>
      </c>
      <c r="H33" s="18">
        <v>0.67070601851851841</v>
      </c>
      <c r="I33" t="s">
        <v>131</v>
      </c>
      <c r="J33" s="8">
        <v>8.6999999999999993</v>
      </c>
      <c r="K33" s="8">
        <v>95.7</v>
      </c>
      <c r="L33" t="s">
        <v>119</v>
      </c>
      <c r="M33" s="19">
        <v>42728</v>
      </c>
      <c r="N33" s="2">
        <v>24</v>
      </c>
      <c r="O33" s="12">
        <v>12</v>
      </c>
      <c r="P33" s="21">
        <v>87</v>
      </c>
    </row>
    <row r="34" spans="1:17" x14ac:dyDescent="0.25">
      <c r="A34" s="12">
        <v>33</v>
      </c>
      <c r="B34" s="13">
        <v>4</v>
      </c>
      <c r="C34" s="14" t="s">
        <v>37</v>
      </c>
      <c r="D34" s="16">
        <f>SUMIFS(FLUXOVENDA!K:K,FLUXOVENDA!C:C,CODVENDA!A34,FLUXOVENDA!N:N,CONFIG!$G$2)</f>
        <v>0</v>
      </c>
      <c r="E34" t="s">
        <v>129</v>
      </c>
      <c r="F34" t="s">
        <v>55</v>
      </c>
      <c r="G34" s="15">
        <v>0.67211805555555548</v>
      </c>
      <c r="H34" s="18">
        <v>0.67281250000000004</v>
      </c>
      <c r="I34" t="s">
        <v>131</v>
      </c>
      <c r="J34" s="8">
        <v>9.9</v>
      </c>
      <c r="K34" s="8">
        <v>108.9</v>
      </c>
      <c r="L34" t="s">
        <v>120</v>
      </c>
      <c r="M34" s="19">
        <v>42728</v>
      </c>
      <c r="N34" s="2">
        <v>24</v>
      </c>
      <c r="O34" s="12">
        <v>12</v>
      </c>
      <c r="P34" s="21">
        <v>99</v>
      </c>
    </row>
    <row r="35" spans="1:17" x14ac:dyDescent="0.25">
      <c r="A35" s="12">
        <v>34</v>
      </c>
      <c r="B35" s="13">
        <v>0</v>
      </c>
      <c r="C35" s="14" t="s">
        <v>136</v>
      </c>
      <c r="D35" s="16">
        <f>SUMIFS(FLUXOVENDA!K:K,FLUXOVENDA!C:C,CODVENDA!A35,FLUXOVENDA!N:N,CONFIG!$G$5)</f>
        <v>0</v>
      </c>
      <c r="E35" t="s">
        <v>129</v>
      </c>
      <c r="F35" t="s">
        <v>136</v>
      </c>
      <c r="G35" s="15">
        <v>0.67381944444444442</v>
      </c>
      <c r="H35" s="18">
        <v>0.67421296296296296</v>
      </c>
      <c r="I35" t="s">
        <v>131</v>
      </c>
      <c r="J35" s="8">
        <v>4.7</v>
      </c>
      <c r="K35" s="8">
        <v>51.7</v>
      </c>
      <c r="L35" t="s">
        <v>119</v>
      </c>
      <c r="M35" s="19">
        <v>42728</v>
      </c>
      <c r="N35" s="2">
        <v>24</v>
      </c>
      <c r="O35" s="12">
        <v>12</v>
      </c>
      <c r="P35" s="21">
        <v>47</v>
      </c>
      <c r="Q35" t="s">
        <v>151</v>
      </c>
    </row>
    <row r="36" spans="1:17" x14ac:dyDescent="0.25">
      <c r="A36" s="12">
        <v>35</v>
      </c>
      <c r="B36" s="13">
        <v>2</v>
      </c>
      <c r="C36" s="14" t="s">
        <v>35</v>
      </c>
      <c r="D36" s="16">
        <f>SUMIFS(FLUXOVENDA!K:K,FLUXOVENDA!C:C,CODVENDA!A36,FLUXOVENDA!N:N,CONFIG!$G$2)</f>
        <v>0</v>
      </c>
      <c r="E36" t="s">
        <v>129</v>
      </c>
      <c r="F36" t="s">
        <v>106</v>
      </c>
      <c r="G36" s="15">
        <v>0.67638888888888893</v>
      </c>
      <c r="H36" s="18">
        <v>0.83101851851851849</v>
      </c>
      <c r="I36" t="s">
        <v>131</v>
      </c>
      <c r="J36" s="8">
        <v>2.4500000000000002</v>
      </c>
      <c r="K36" s="8">
        <v>26.95</v>
      </c>
      <c r="L36" t="s">
        <v>119</v>
      </c>
      <c r="M36" s="19">
        <v>42728</v>
      </c>
      <c r="N36" s="2">
        <v>24</v>
      </c>
      <c r="O36" s="12">
        <v>12</v>
      </c>
      <c r="P36" s="21">
        <v>24.5</v>
      </c>
      <c r="Q36" t="s">
        <v>106</v>
      </c>
    </row>
    <row r="37" spans="1:17" x14ac:dyDescent="0.25">
      <c r="A37" s="12">
        <v>36</v>
      </c>
      <c r="B37" s="13">
        <v>2</v>
      </c>
      <c r="C37" s="14" t="s">
        <v>35</v>
      </c>
      <c r="D37" s="16">
        <f>SUMIFS(FLUXOVENDA!K:K,FLUXOVENDA!C:C,CODVENDA!A37,FLUXOVENDA!N:N,CONFIG!$G$2)</f>
        <v>0</v>
      </c>
      <c r="E37" t="s">
        <v>129</v>
      </c>
      <c r="F37" t="s">
        <v>58</v>
      </c>
      <c r="G37" s="15">
        <v>0.83289351851851856</v>
      </c>
      <c r="H37" s="18">
        <v>0.83289351851851856</v>
      </c>
      <c r="I37" t="s">
        <v>131</v>
      </c>
      <c r="J37" s="8">
        <v>1.05</v>
      </c>
      <c r="K37" s="8">
        <v>11.55</v>
      </c>
      <c r="L37" t="s">
        <v>120</v>
      </c>
      <c r="M37" s="19">
        <v>42728</v>
      </c>
      <c r="N37" s="2">
        <v>24</v>
      </c>
      <c r="O37" s="12">
        <v>12</v>
      </c>
      <c r="P37" s="21">
        <v>10.5</v>
      </c>
      <c r="Q37" t="s">
        <v>106</v>
      </c>
    </row>
    <row r="38" spans="1:17" x14ac:dyDescent="0.25">
      <c r="A38" s="12">
        <v>37</v>
      </c>
      <c r="B38" s="13">
        <v>0</v>
      </c>
      <c r="C38" s="14" t="s">
        <v>136</v>
      </c>
      <c r="D38" s="16">
        <f>SUMIFS(FLUXOVENDA!K:K,FLUXOVENDA!C:C,CODVENDA!A38,FLUXOVENDA!N:N,CONFIG!$G$5)</f>
        <v>0</v>
      </c>
      <c r="E38" t="s">
        <v>129</v>
      </c>
      <c r="F38" t="s">
        <v>136</v>
      </c>
      <c r="G38" s="15">
        <v>0.83519675925925929</v>
      </c>
      <c r="I38" t="s">
        <v>130</v>
      </c>
      <c r="J38" s="8">
        <v>0</v>
      </c>
      <c r="K38" s="8">
        <v>3.5</v>
      </c>
      <c r="L38" t="s">
        <v>119</v>
      </c>
      <c r="M38" s="19">
        <v>42728</v>
      </c>
      <c r="N38" s="2">
        <v>24</v>
      </c>
      <c r="O38" s="12">
        <v>12</v>
      </c>
      <c r="P38" s="21">
        <v>3.5</v>
      </c>
    </row>
    <row r="39" spans="1:17" x14ac:dyDescent="0.25">
      <c r="A39" s="12">
        <v>38</v>
      </c>
      <c r="B39" s="13">
        <v>2</v>
      </c>
      <c r="C39" s="14" t="s">
        <v>35</v>
      </c>
      <c r="D39" s="16">
        <f>SUMIFS(FLUXOVENDA!K:K,FLUXOVENDA!C:C,CODVENDA!A39,FLUXOVENDA!N:N,CONFIG!$G$2)</f>
        <v>0</v>
      </c>
      <c r="E39" t="s">
        <v>129</v>
      </c>
      <c r="F39" t="s">
        <v>58</v>
      </c>
      <c r="G39" s="15">
        <v>0.83554398148148146</v>
      </c>
      <c r="H39" s="18">
        <v>0.83564814814814825</v>
      </c>
      <c r="I39" t="s">
        <v>131</v>
      </c>
      <c r="J39" s="8">
        <v>1.75</v>
      </c>
      <c r="K39" s="8">
        <v>19.25</v>
      </c>
      <c r="L39" t="s">
        <v>120</v>
      </c>
      <c r="M39" s="19">
        <v>42728</v>
      </c>
      <c r="N39" s="2">
        <v>24</v>
      </c>
      <c r="O39" s="12">
        <v>12</v>
      </c>
      <c r="P39" s="21">
        <v>17.5</v>
      </c>
      <c r="Q39" t="s">
        <v>106</v>
      </c>
    </row>
    <row r="40" spans="1:17" x14ac:dyDescent="0.25">
      <c r="A40" s="12">
        <v>39</v>
      </c>
      <c r="B40" s="13">
        <v>2</v>
      </c>
      <c r="C40" s="14" t="s">
        <v>35</v>
      </c>
      <c r="D40" s="16">
        <f>SUMIFS(FLUXOVENDA!K:K,FLUXOVENDA!C:C,CODVENDA!A40,FLUXOVENDA!N:N,CONFIG!$G$2)</f>
        <v>0</v>
      </c>
      <c r="E40" t="s">
        <v>129</v>
      </c>
      <c r="F40" t="s">
        <v>58</v>
      </c>
      <c r="G40" s="15">
        <v>0.83922453703703714</v>
      </c>
      <c r="H40" s="18">
        <v>0.83996527777777785</v>
      </c>
      <c r="I40" t="s">
        <v>131</v>
      </c>
      <c r="J40" s="8">
        <v>1.05</v>
      </c>
      <c r="K40" s="8">
        <v>11.55</v>
      </c>
      <c r="L40" t="s">
        <v>119</v>
      </c>
      <c r="M40" s="19">
        <v>42729</v>
      </c>
      <c r="N40" s="2">
        <v>25</v>
      </c>
      <c r="O40" s="12">
        <v>12</v>
      </c>
      <c r="P40" s="21">
        <v>10.5</v>
      </c>
      <c r="Q40" t="s">
        <v>106</v>
      </c>
    </row>
    <row r="41" spans="1:17" x14ac:dyDescent="0.25">
      <c r="A41" s="12">
        <v>40</v>
      </c>
      <c r="B41" s="13">
        <v>1</v>
      </c>
      <c r="C41" s="14" t="s">
        <v>34</v>
      </c>
      <c r="D41" s="16">
        <f>SUMIFS(FLUXOVENDA!K:K,FLUXOVENDA!C:C,CODVENDA!A41,FLUXOVENDA!N:N,CONFIG!$G$2)</f>
        <v>0</v>
      </c>
      <c r="E41" t="s">
        <v>129</v>
      </c>
      <c r="F41" t="s">
        <v>58</v>
      </c>
      <c r="G41" s="15">
        <v>0.86222222222222233</v>
      </c>
      <c r="H41" s="18">
        <v>0.86222222222222233</v>
      </c>
      <c r="I41" t="s">
        <v>131</v>
      </c>
      <c r="J41" s="8">
        <v>2.8</v>
      </c>
      <c r="K41" s="8">
        <v>30.8</v>
      </c>
      <c r="L41" t="s">
        <v>119</v>
      </c>
      <c r="M41" s="19">
        <v>42729</v>
      </c>
      <c r="N41" s="2">
        <v>25</v>
      </c>
      <c r="O41" s="12">
        <v>12</v>
      </c>
      <c r="P41" s="21">
        <v>28</v>
      </c>
      <c r="Q41" t="s">
        <v>154</v>
      </c>
    </row>
    <row r="42" spans="1:17" x14ac:dyDescent="0.25">
      <c r="A42" s="12">
        <v>41</v>
      </c>
      <c r="B42" s="13">
        <v>0</v>
      </c>
      <c r="C42" s="14" t="s">
        <v>136</v>
      </c>
      <c r="D42" s="16">
        <f>SUMIFS(FLUXOVENDA!K:K,FLUXOVENDA!C:C,CODVENDA!A42,FLUXOVENDA!N:N,CONFIG!$G$5)</f>
        <v>0</v>
      </c>
      <c r="E42" t="s">
        <v>129</v>
      </c>
      <c r="F42" t="s">
        <v>136</v>
      </c>
      <c r="G42" s="15">
        <v>2.3923611111111114E-2</v>
      </c>
      <c r="I42" t="s">
        <v>131</v>
      </c>
      <c r="J42" s="8">
        <v>2.4500000000000002</v>
      </c>
      <c r="K42" s="8">
        <v>26.95</v>
      </c>
      <c r="L42" t="s">
        <v>119</v>
      </c>
      <c r="M42" s="19">
        <v>42729</v>
      </c>
      <c r="N42" s="2">
        <v>25</v>
      </c>
      <c r="O42" s="12">
        <v>12</v>
      </c>
      <c r="P42" s="21">
        <v>24.5</v>
      </c>
    </row>
    <row r="43" spans="1:17" x14ac:dyDescent="0.25">
      <c r="A43" s="12">
        <v>42</v>
      </c>
      <c r="B43" s="13">
        <v>0</v>
      </c>
      <c r="C43" s="14" t="s">
        <v>136</v>
      </c>
      <c r="D43" s="16">
        <f>SUMIFS(FLUXOVENDA!K:K,FLUXOVENDA!C:C,CODVENDA!A43,FLUXOVENDA!N:N,CONFIG!$G$5)</f>
        <v>0</v>
      </c>
      <c r="E43" t="s">
        <v>129</v>
      </c>
      <c r="F43" t="s">
        <v>136</v>
      </c>
      <c r="G43" s="15">
        <v>2.9537037037037039E-2</v>
      </c>
      <c r="I43" t="s">
        <v>131</v>
      </c>
      <c r="J43" s="8">
        <v>2.15</v>
      </c>
      <c r="K43" s="8">
        <v>23.65</v>
      </c>
      <c r="L43" t="s">
        <v>119</v>
      </c>
      <c r="M43" s="19">
        <v>42729</v>
      </c>
      <c r="N43" s="2">
        <v>25</v>
      </c>
      <c r="O43" s="12">
        <v>12</v>
      </c>
      <c r="P43" s="21">
        <v>21.5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D31"/>
  <sheetViews>
    <sheetView workbookViewId="0">
      <selection activeCell="E9" sqref="E9"/>
    </sheetView>
  </sheetViews>
  <sheetFormatPr defaultRowHeight="15" x14ac:dyDescent="0.25"/>
  <cols>
    <col min="1" max="1" width="38.85546875" bestFit="1" customWidth="1"/>
    <col min="2" max="2" width="19.28515625" style="7" bestFit="1" customWidth="1"/>
    <col min="3" max="3" width="11.7109375" style="20" bestFit="1" customWidth="1"/>
    <col min="4" max="4" width="9.140625" style="22"/>
  </cols>
  <sheetData>
    <row r="1" spans="1:4" x14ac:dyDescent="0.25">
      <c r="A1" t="s">
        <v>114</v>
      </c>
      <c r="B1" s="7">
        <f ca="1">DAY(TODAY())</f>
        <v>25</v>
      </c>
      <c r="C1" s="20">
        <f ca="1">IF(CODVENDA!N:N = "", 0, SUMIF(CODVENDA!N:N,RESUMO!B1,CODVENDA!K:K))</f>
        <v>92.949999999999989</v>
      </c>
    </row>
    <row r="2" spans="1:4" x14ac:dyDescent="0.25">
      <c r="A2" t="s">
        <v>118</v>
      </c>
      <c r="C2" s="20">
        <f ca="1">SUMIF(CODVENDA!O:O,RESUMO!B3,CODVENDA!K:K)</f>
        <v>1195.1500000000001</v>
      </c>
    </row>
    <row r="3" spans="1:4" x14ac:dyDescent="0.25">
      <c r="A3" t="s">
        <v>113</v>
      </c>
      <c r="B3" s="7">
        <f ca="1">MONTH(TODAY())</f>
        <v>12</v>
      </c>
      <c r="C3" s="20">
        <f ca="1">SUMIF(FLUXOVENDA!O:O,RESUMO!B3,FLUXOVENDA!K:K)</f>
        <v>1102</v>
      </c>
    </row>
    <row r="4" spans="1:4" x14ac:dyDescent="0.25">
      <c r="A4" t="s">
        <v>115</v>
      </c>
      <c r="B4" s="7">
        <f ca="1">B1</f>
        <v>25</v>
      </c>
      <c r="C4" s="20">
        <f ca="1">SUMIF(CODVENDA!N:N,RESUMO!B1,CODVENDA!J:J)</f>
        <v>8.4499999999999993</v>
      </c>
    </row>
    <row r="5" spans="1:4" x14ac:dyDescent="0.25">
      <c r="A5" t="s">
        <v>116</v>
      </c>
      <c r="C5" s="20">
        <f ca="1">SUMIF(CODVENDA!O:O,RESUMO!B3,CODVENDA!J:J)</f>
        <v>93.15000000000002</v>
      </c>
    </row>
    <row r="6" spans="1:4" x14ac:dyDescent="0.25">
      <c r="A6" t="s">
        <v>121</v>
      </c>
      <c r="B6" s="7" t="s">
        <v>119</v>
      </c>
      <c r="C6" s="20">
        <f ca="1">SUMIFS(CODVENDA!K:K,CODVENDA!L:L,RESUMO!B6,CODVENDA!N:N,RESUMO!B1)</f>
        <v>92.949999999999989</v>
      </c>
      <c r="D6" s="22">
        <f ca="1">IF($C$1=0,0,C6/$C$1)</f>
        <v>1</v>
      </c>
    </row>
    <row r="7" spans="1:4" x14ac:dyDescent="0.25">
      <c r="A7" t="s">
        <v>122</v>
      </c>
      <c r="B7" s="7" t="s">
        <v>120</v>
      </c>
      <c r="C7" s="20">
        <f ca="1">SUMIFS(CODVENDA!K:K,CODVENDA!L:L,RESUMO!B7,CODVENDA!N:N,RESUMO!B1)</f>
        <v>0</v>
      </c>
      <c r="D7" s="22">
        <f ca="1">IF($C$1=0,0,C7/$C$1)</f>
        <v>0</v>
      </c>
    </row>
    <row r="8" spans="1:4" x14ac:dyDescent="0.25">
      <c r="A8" t="s">
        <v>125</v>
      </c>
      <c r="B8" s="7" t="s">
        <v>126</v>
      </c>
      <c r="C8" s="20">
        <f ca="1">SUMIFS(CODVENDA!K:K,CODVENDA!L:L,RESUMO!B8,CODVENDA!N:N,RESUMO!B1)</f>
        <v>0</v>
      </c>
      <c r="D8" s="22">
        <f ca="1">IF($C$1=0,0,C8/$C$1)</f>
        <v>0</v>
      </c>
    </row>
    <row r="9" spans="1:4" x14ac:dyDescent="0.25">
      <c r="A9" t="s">
        <v>123</v>
      </c>
      <c r="B9" s="7" t="s">
        <v>119</v>
      </c>
      <c r="C9" s="20">
        <f ca="1">SUMIFS(CODVENDA!K:K,CODVENDA!L:L,RESUMO!B6,CODVENDA!O:O,RESUMO!B3)</f>
        <v>940.10000000000014</v>
      </c>
    </row>
    <row r="10" spans="1:4" x14ac:dyDescent="0.25">
      <c r="A10" t="s">
        <v>124</v>
      </c>
      <c r="B10" s="7" t="s">
        <v>120</v>
      </c>
      <c r="C10" s="20">
        <f ca="1">SUMIFS(CODVENDA!K:K,CODVENDA!L:L,RESUMO!B7,CODVENDA!O:O,RESUMO!B3)</f>
        <v>235.25</v>
      </c>
    </row>
    <row r="11" spans="1:4" x14ac:dyDescent="0.25">
      <c r="A11" s="1" t="s">
        <v>9</v>
      </c>
      <c r="B11" s="7" t="s">
        <v>126</v>
      </c>
      <c r="C11" s="20">
        <f ca="1">SUMIFS(CODVENDA!K:K,CODVENDA!L:L,RESUMO!B8,CODVENDA!O:O,RESUMO!B3)</f>
        <v>19.8</v>
      </c>
    </row>
    <row r="12" spans="1:4" x14ac:dyDescent="0.25">
      <c r="A12" s="1"/>
    </row>
    <row r="14" spans="1:4" x14ac:dyDescent="0.25">
      <c r="A14" t="s">
        <v>127</v>
      </c>
    </row>
    <row r="15" spans="1:4" x14ac:dyDescent="0.25">
      <c r="A15" t="s">
        <v>128</v>
      </c>
      <c r="B15" s="7" t="str">
        <f>FUNCIONARIO!B2</f>
        <v>DENIS BARRETO</v>
      </c>
      <c r="C15" s="20">
        <f ca="1">SUMIFS(FLUXOVENDA!K:K,FLUXOVENDA!H:H,RESUMO!B15,FLUXOVENDA!O:O,RESUMO!$B$3)</f>
        <v>203.5</v>
      </c>
      <c r="D15" s="22">
        <f ca="1">IF($C$2=0, "-",C15/$C$2)</f>
        <v>0.17027151403589505</v>
      </c>
    </row>
    <row r="16" spans="1:4" x14ac:dyDescent="0.25">
      <c r="A16" t="s">
        <v>128</v>
      </c>
      <c r="B16" s="7" t="str">
        <f>FUNCIONARIO!B3</f>
        <v>WELLINGTON SOUZA</v>
      </c>
      <c r="C16" s="20">
        <f ca="1">SUMIFS(FLUXOVENDA!K:K,FLUXOVENDA!H:H,RESUMO!B16,FLUXOVENDA!O:O,RESUMO!$B$3)</f>
        <v>218.5</v>
      </c>
      <c r="D16" s="22">
        <f ca="1">IF($C$2=0, "-",C16/$C$2)</f>
        <v>0.18282223988620674</v>
      </c>
    </row>
    <row r="17" spans="1:4" x14ac:dyDescent="0.25">
      <c r="A17" t="s">
        <v>128</v>
      </c>
      <c r="B17" s="7" t="str">
        <f>FUNCIONARIO!B4</f>
        <v>DAIANE BARRETO</v>
      </c>
      <c r="C17" s="20">
        <f ca="1">SUMIFS(FLUXOVENDA!K:K,FLUXOVENDA!H:H,RESUMO!B17,FLUXOVENDA!O:O,RESUMO!$B$3)</f>
        <v>70</v>
      </c>
      <c r="D17" s="22">
        <f ca="1">IF($C$2=0, "-",C17/$C$2)</f>
        <v>5.857005396812115E-2</v>
      </c>
    </row>
    <row r="18" spans="1:4" x14ac:dyDescent="0.25">
      <c r="A18" t="s">
        <v>128</v>
      </c>
      <c r="B18" s="7" t="str">
        <f>FUNCIONARIO!B5</f>
        <v>WAGNER GOMES</v>
      </c>
      <c r="C18" s="20">
        <f ca="1">SUMIFS(FLUXOVENDA!K:K,FLUXOVENDA!H:H,RESUMO!B18,FLUXOVENDA!O:O,RESUMO!$B$3)</f>
        <v>11</v>
      </c>
      <c r="D18" s="22">
        <f ca="1">IF($C$2=0, "-",C18/$C$2)</f>
        <v>9.2038656235618951E-3</v>
      </c>
    </row>
    <row r="19" spans="1:4" x14ac:dyDescent="0.25">
      <c r="A19" t="s">
        <v>128</v>
      </c>
      <c r="B19" s="7" t="str">
        <f>FUNCIONARIO!B6</f>
        <v>CLIENTE</v>
      </c>
      <c r="C19" s="20">
        <f ca="1">SUMIFS(FLUXOVENDA!K:K,FLUXOVENDA!H:H,RESUMO!B19,FLUXOVENDA!O:O,RESUMO!$B$3)</f>
        <v>7</v>
      </c>
      <c r="D19" s="22">
        <f ca="1">IF($C$2=0, "-",C19/$C$2)</f>
        <v>5.8570053968121155E-3</v>
      </c>
    </row>
    <row r="21" spans="1:4" x14ac:dyDescent="0.25">
      <c r="A21" t="s">
        <v>117</v>
      </c>
      <c r="B21" s="7" t="str">
        <f>B15</f>
        <v>DENIS BARRETO</v>
      </c>
      <c r="C21" s="20">
        <f ca="1">SUMIFS(FLUXOVENDA!K:K,FLUXOVENDA!Q:Q,RESUMO!$B$1,FLUXOVENDA!H:H,RESUMO!B21)</f>
        <v>35</v>
      </c>
      <c r="D21" s="22">
        <f ca="1">IF($C$1=0,0,C21/$C$1)</f>
        <v>0.37654653039268426</v>
      </c>
    </row>
    <row r="22" spans="1:4" x14ac:dyDescent="0.25">
      <c r="A22" t="s">
        <v>117</v>
      </c>
      <c r="B22" s="7" t="str">
        <f>B16</f>
        <v>WELLINGTON SOUZA</v>
      </c>
      <c r="C22" s="20">
        <f ca="1">SUMIFS(FLUXOVENDA!K:K,FLUXOVENDA!Q:Q,RESUMO!$B$1,FLUXOVENDA!H:H,RESUMO!B22)</f>
        <v>3.5</v>
      </c>
      <c r="D22" s="22">
        <f ca="1">IF($C$1=0,0,C22/$C$1)</f>
        <v>3.7654653039268425E-2</v>
      </c>
    </row>
    <row r="23" spans="1:4" x14ac:dyDescent="0.25">
      <c r="A23" t="s">
        <v>117</v>
      </c>
      <c r="B23" s="7" t="str">
        <f>B17</f>
        <v>DAIANE BARRETO</v>
      </c>
      <c r="C23" s="20">
        <f ca="1">SUMIFS(FLUXOVENDA!K:K,FLUXOVENDA!Q:Q,RESUMO!$B$1,FLUXOVENDA!H:H,RESUMO!B23)</f>
        <v>0</v>
      </c>
      <c r="D23" s="22">
        <f ca="1">IF($C$1=0,0,C23/$C$1)</f>
        <v>0</v>
      </c>
    </row>
    <row r="24" spans="1:4" x14ac:dyDescent="0.25">
      <c r="A24" t="s">
        <v>117</v>
      </c>
      <c r="B24" s="7" t="str">
        <f>B18</f>
        <v>WAGNER GOMES</v>
      </c>
      <c r="C24" s="20">
        <f ca="1">SUMIFS(FLUXOVENDA!K:K,FLUXOVENDA!Q:Q,RESUMO!$B$1,FLUXOVENDA!H:H,RESUMO!B24)</f>
        <v>0</v>
      </c>
      <c r="D24" s="22">
        <f ca="1">IF($C$1=0,0,C24/$C$1)</f>
        <v>0</v>
      </c>
    </row>
    <row r="25" spans="1:4" x14ac:dyDescent="0.25">
      <c r="B25" s="7" t="str">
        <f>B19</f>
        <v>CLIENTE</v>
      </c>
      <c r="C25" s="20">
        <f ca="1">SUMIFS(FLUXOVENDA!K:K,FLUXOVENDA!Q:Q,RESUMO!$B$1,FLUXOVENDA!H:H,RESUMO!B25)</f>
        <v>0</v>
      </c>
      <c r="D25" s="22">
        <f ca="1">IF($C$1=0,0,C25/$C$1)</f>
        <v>0</v>
      </c>
    </row>
    <row r="27" spans="1:4" x14ac:dyDescent="0.25">
      <c r="A27" t="s">
        <v>101</v>
      </c>
      <c r="B27" s="7" t="str">
        <f>B21</f>
        <v>DENIS BARRETO</v>
      </c>
      <c r="C27" s="20">
        <f ca="1">SUMIFS(FLUXOVENDA!K:K,FLUXOVENDA!O:O,RESUMO!$B$3,FLUXOVENDA!H:H,RESUMO!B27)</f>
        <v>203.5</v>
      </c>
      <c r="D27" s="22">
        <f ca="1">IF($C$2=0,"-",C27/$C$2)</f>
        <v>0.17027151403589505</v>
      </c>
    </row>
    <row r="28" spans="1:4" x14ac:dyDescent="0.25">
      <c r="A28" t="s">
        <v>101</v>
      </c>
      <c r="B28" s="7" t="str">
        <f>B22</f>
        <v>WELLINGTON SOUZA</v>
      </c>
      <c r="C28" s="20">
        <f ca="1">SUMIFS(FLUXOVENDA!K:K,FLUXOVENDA!O:O,RESUMO!$B$3,FLUXOVENDA!H:H,RESUMO!B28)</f>
        <v>218.5</v>
      </c>
      <c r="D28" s="22">
        <f ca="1">IF($C$2=0,"-",C28/$C$2)</f>
        <v>0.18282223988620674</v>
      </c>
    </row>
    <row r="29" spans="1:4" x14ac:dyDescent="0.25">
      <c r="A29" t="s">
        <v>101</v>
      </c>
      <c r="B29" s="7" t="str">
        <f>B23</f>
        <v>DAIANE BARRETO</v>
      </c>
      <c r="C29" s="20">
        <f ca="1">SUMIFS(FLUXOVENDA!K:K,FLUXOVENDA!O:O,RESUMO!$B$3,FLUXOVENDA!H:H,RESUMO!B29)</f>
        <v>70</v>
      </c>
      <c r="D29" s="22">
        <f ca="1">IF($C$2=0,"-",C29/$C$2)</f>
        <v>5.857005396812115E-2</v>
      </c>
    </row>
    <row r="30" spans="1:4" x14ac:dyDescent="0.25">
      <c r="A30" t="s">
        <v>101</v>
      </c>
      <c r="B30" s="7" t="str">
        <f>B24</f>
        <v>WAGNER GOMES</v>
      </c>
      <c r="C30" s="20">
        <f ca="1">SUMIFS(FLUXOVENDA!K:K,FLUXOVENDA!O:O,RESUMO!$B$3,FLUXOVENDA!H:H,RESUMO!B30)</f>
        <v>11</v>
      </c>
      <c r="D30" s="22">
        <f ca="1">IF($C$2=0,"-",C30/$C$2)</f>
        <v>9.2038656235618951E-3</v>
      </c>
    </row>
    <row r="31" spans="1:4" x14ac:dyDescent="0.25">
      <c r="A31" t="s">
        <v>101</v>
      </c>
      <c r="B31" s="7" t="str">
        <f>B25</f>
        <v>CLIENTE</v>
      </c>
      <c r="C31" s="20">
        <f ca="1">SUMIFS(FLUXOVENDA!K:K,FLUXOVENDA!O:O,RESUMO!$B$3,FLUXOVENDA!H:H,RESUMO!B31)</f>
        <v>7</v>
      </c>
      <c r="D31" s="22">
        <f ca="1">IF($C$2=0,"-",C31/$C$2)</f>
        <v>5.8570053968121155E-3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</vt:i4>
      </vt:variant>
      <vt:variant>
        <vt:lpstr>Macros do Excel 4.0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Planilha1</vt:lpstr>
      <vt:lpstr>Macro1</vt:lpstr>
      <vt:lpstr>GRUPOPRODUTOS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Wssj</cp:lastModifiedBy>
  <dcterms:created xsi:type="dcterms:W3CDTF">2016-12-17T16:08:30Z</dcterms:created>
  <dcterms:modified xsi:type="dcterms:W3CDTF">2016-12-25T15:27:07Z</dcterms:modified>
</cp:coreProperties>
</file>