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D:\Empresa de Gestão\Quiosque 63B Barra da Tijuca\"/>
    </mc:Choice>
  </mc:AlternateContent>
  <bookViews>
    <workbookView xWindow="0" yWindow="0" windowWidth="20490" windowHeight="7530" firstSheet="1" activeTab="5"/>
  </bookViews>
  <sheets>
    <sheet name="FUNCIONARIO" sheetId="1" r:id="rId1"/>
    <sheet name="FLUXOFUNCIONARIOS" sheetId="5" r:id="rId2"/>
    <sheet name="MESAS" sheetId="2" r:id="rId3"/>
    <sheet name="PRODUTOS" sheetId="3" r:id="rId4"/>
    <sheet name="CONFIG" sheetId="6" r:id="rId5"/>
    <sheet name="FLUXOVENDA" sheetId="4" r:id="rId6"/>
    <sheet name="CODVENDA" sheetId="7" r:id="rId7"/>
  </sheets>
  <functionGroups builtInGroupCount="18"/>
  <definedNames>
    <definedName name="GRUPOPRODUTOS">CONFIG!$B$2:$B$13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7" l="1"/>
  <c r="D9" i="7"/>
  <c r="D8" i="7"/>
  <c r="D7" i="7"/>
  <c r="D6" i="7"/>
  <c r="D5" i="7" l="1"/>
  <c r="D4" i="7"/>
  <c r="D3" i="7"/>
  <c r="D2" i="7"/>
</calcChain>
</file>

<file path=xl/sharedStrings.xml><?xml version="1.0" encoding="utf-8"?>
<sst xmlns="http://schemas.openxmlformats.org/spreadsheetml/2006/main" count="389" uniqueCount="125">
  <si>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</si>
  <si>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</si>
  <si>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</si>
  <si>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</si>
  <si>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</si>
  <si>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</si>
  <si>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</si>
  <si>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</si>
  <si>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</si>
  <si>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</si>
  <si>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</si>
  <si>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</si>
  <si>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</si>
  <si>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</si>
  <si>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</si>
  <si>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</si>
  <si>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</si>
  <si>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</si>
  <si>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</si>
  <si>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</si>
  <si>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</si>
  <si>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</si>
  <si>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</si>
  <si>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</si>
  <si>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</si>
  <si>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</si>
  <si>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</si>
  <si>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</si>
  <si>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</si>
  <si>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</si>
  <si>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</si>
  <si>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</si>
  <si>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</si>
  <si>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</si>
  <si>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</si>
  <si>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</si>
  <si>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</si>
  <si>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</si>
  <si>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</si>
  <si>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</si>
  <si>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</si>
  <si>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</si>
  <si>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</si>
  <si>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</si>
  <si>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</si>
  <si>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</si>
  <si>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</si>
  <si>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</si>
  <si>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</si>
  <si>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</si>
  <si>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</si>
  <si>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</si>
  <si>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</si>
  <si>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</si>
  <si>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</si>
  <si>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</si>
  <si>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</si>
  <si>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</si>
  <si>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DANILO BARRETO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</si>
  <si>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</si>
  <si>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</si>
  <si>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</si>
  <si>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</si>
  <si>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</si>
  <si>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</si>
  <si>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</si>
  <si>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</si>
  <si>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</si>
  <si>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BAVARIA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</si>
  <si>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</si>
  <si>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</si>
  <si>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</si>
  <si>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</si>
  <si>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</si>
  <si>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</si>
  <si>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</si>
  <si>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</si>
  <si>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</si>
  <si>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</si>
  <si>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</si>
  <si>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</si>
  <si>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</si>
  <si>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</si>
  <si>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</si>
  <si>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</si>
  <si>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</si>
  <si>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</si>
  <si>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</si>
  <si>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</si>
  <si>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</si>
  <si>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</si>
  <si>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</si>
  <si>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</si>
  <si>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</si>
  <si>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</si>
  <si>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</si>
  <si>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</si>
  <si>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</si>
  <si>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</si>
  <si>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</si>
  <si>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</si>
  <si>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</si>
  <si>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</si>
  <si>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</si>
  <si>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</si>
  <si>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</si>
  <si>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 xml:space="preserve">VALOR </t>
  </si>
  <si>
    <t>GARÇOM</t>
  </si>
  <si>
    <t>HORA</t>
  </si>
  <si>
    <t>CLIENTE</t>
  </si>
  <si>
    <t>HORA ÚLTIMO ATENDIMENTO</t>
  </si>
  <si>
    <t xml:space="preserve"> 4 MESA </t>
  </si>
  <si>
    <t xml:space="preserve"> 3 MESA </t>
  </si>
  <si>
    <t xml:space="preserve"> 8 MESA </t>
  </si>
  <si>
    <t xml:space="preserve"> 6 MESA </t>
  </si>
  <si>
    <t xml:space="preserve"> 10 MESA </t>
  </si>
  <si>
    <t xml:space="preserve"> 11 MESA </t>
  </si>
  <si>
    <t xml:space="preserve"> 12 MESA </t>
  </si>
  <si>
    <t xml:space="preserve"> 7 MESA </t>
  </si>
  <si>
    <t>CONFIRMA PGTO</t>
  </si>
  <si>
    <t>FORMA PAGAMENTO</t>
  </si>
  <si>
    <t>PORCENTAGEM</t>
  </si>
  <si>
    <t>PAGA PORCENTAGEM</t>
  </si>
  <si>
    <t>VLR TOT PAGO</t>
  </si>
  <si>
    <t xml:space="preserve"> 5 MESA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</si>
</sst>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R$&quot;\ * #,##0.00_-;\-&quot;R$&quot;\ * #,##0.00_-;_-&quot;R$&quot;\ * &quot;-&quot;??_-;_-@_-"/>
    <numFmt numFmtId="164" formatCode="0_ ;\-0\ "/>
    <numFmt numFmtId="165" formatCode="h:mm;@"/>
    <numFmt numFmtId="166" formatCode="#,##0.00_ ;\-#,##0.00\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1" fillId="0" borderId="0" xfId="0" applyNumberFormat="1" applyFont="1" applyAlignment="1">
      <alignment horizontal="center"/>
    </xf>
    <xf numFmtId="4" fontId="0" fillId="0" borderId="0" xfId="0" applyNumberFormat="1"/>
    <xf numFmtId="14" fontId="0" fillId="0" borderId="0" xfId="0" applyNumberFormat="1"/>
    <xf numFmtId="1" fontId="0" fillId="2" borderId="1" xfId="0" applyNumberFormat="1" applyFill="1" applyBorder="1"/>
    <xf numFmtId="4" fontId="0" fillId="2" borderId="1" xfId="0" applyNumberFormat="1" applyFill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2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44" fontId="0" fillId="0" borderId="0" xfId="1" applyFon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 vertical="center"/>
    </xf>
    <xf numFmtId="0" fontId="0" fillId="3" borderId="0" xfId="0" applyFill="1"/>
    <xf numFmtId="165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7"/>
  <sheetViews>
    <sheetView workbookViewId="0">
      <selection activeCell="H13" sqref="H13"/>
    </sheetView>
  </sheetViews>
  <sheetFormatPr defaultRowHeight="15" x14ac:dyDescent="0.25"/>
  <cols>
    <col min="1" max="1" width="4.85546875" style="16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6" bestFit="1" customWidth="1"/>
    <col min="7" max="7" width="11.5703125" style="6" customWidth="1"/>
  </cols>
  <sheetData>
    <row r="1" spans="1:7" x14ac:dyDescent="0.25">
      <c r="A1" s="15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</row>
    <row r="2" spans="1:7" x14ac:dyDescent="0.25">
      <c r="A2" s="16">
        <v>1</v>
      </c>
      <c r="B2" t="s">
        <v>58</v>
      </c>
      <c r="C2" t="s">
        <v>11</v>
      </c>
      <c r="D2" t="s">
        <v>12</v>
      </c>
      <c r="E2" t="s">
        <v>14</v>
      </c>
      <c r="F2" s="6" t="s">
        <v>13</v>
      </c>
      <c r="G2" s="6">
        <v>21555410</v>
      </c>
    </row>
    <row r="3" spans="1:7" x14ac:dyDescent="0.25">
      <c r="A3" s="16">
        <v>2</v>
      </c>
      <c r="B3" t="s">
        <v>59</v>
      </c>
      <c r="C3">
        <v>21995021</v>
      </c>
      <c r="D3" t="s">
        <v>15</v>
      </c>
      <c r="E3" t="s">
        <v>16</v>
      </c>
      <c r="F3" s="6" t="s">
        <v>13</v>
      </c>
      <c r="G3" s="6">
        <v>5214010</v>
      </c>
    </row>
    <row r="4" spans="1:7" x14ac:dyDescent="0.25">
      <c r="A4" s="16">
        <v>3</v>
      </c>
      <c r="B4" t="s">
        <v>55</v>
      </c>
    </row>
    <row r="5" spans="1:7" x14ac:dyDescent="0.25">
      <c r="A5" s="16">
        <v>4</v>
      </c>
      <c r="B5" t="s">
        <v>60</v>
      </c>
    </row>
    <row r="6" spans="1:7" x14ac:dyDescent="0.25">
      <c r="A6" s="16">
        <v>5</v>
      </c>
      <c r="B6" t="s">
        <v>61</v>
      </c>
    </row>
    <row r="7" spans="1:7" x14ac:dyDescent="0.25">
      <c r="A7" s="16">
        <v>6</v>
      </c>
      <c r="B7" t="s">
        <v>109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8" t="s">
        <v>7</v>
      </c>
      <c r="B1" s="8" t="s">
        <v>8</v>
      </c>
      <c r="C1" s="8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19"/>
  <sheetViews>
    <sheetView workbookViewId="0">
      <selection activeCell="E5" sqref="E5"/>
    </sheetView>
  </sheetViews>
  <sheetFormatPr defaultRowHeight="15" x14ac:dyDescent="0.25"/>
  <cols>
    <col min="1" max="1" width="9.140625" style="2"/>
    <col min="3" max="3" width="11.5703125" bestFit="1" customWidth="1"/>
  </cols>
  <sheetData>
    <row r="1" spans="1:6" x14ac:dyDescent="0.25">
      <c r="A1" s="7" t="s">
        <v>0</v>
      </c>
      <c r="B1" s="7" t="s">
        <v>17</v>
      </c>
      <c r="C1" s="7" t="s">
        <v>25</v>
      </c>
    </row>
    <row r="2" spans="1:6" x14ac:dyDescent="0.25">
      <c r="A2" s="2">
        <v>1</v>
      </c>
      <c r="B2" t="s">
        <v>34</v>
      </c>
      <c r="C2" t="s">
        <v>100</v>
      </c>
      <c r="F2" s="2"/>
    </row>
    <row r="3" spans="1:6" x14ac:dyDescent="0.25">
      <c r="A3" s="2">
        <v>2</v>
      </c>
      <c r="B3" t="s">
        <v>35</v>
      </c>
      <c r="C3" t="s">
        <v>100</v>
      </c>
    </row>
    <row r="4" spans="1:6" x14ac:dyDescent="0.25">
      <c r="A4" s="2">
        <v>3</v>
      </c>
      <c r="B4" t="s">
        <v>36</v>
      </c>
      <c r="C4" t="s">
        <v>105</v>
      </c>
    </row>
    <row r="5" spans="1:6" x14ac:dyDescent="0.25">
      <c r="A5" s="2">
        <v>4</v>
      </c>
      <c r="B5" t="s">
        <v>37</v>
      </c>
      <c r="C5" t="s">
        <v>105</v>
      </c>
    </row>
    <row r="6" spans="1:6" x14ac:dyDescent="0.25">
      <c r="A6" s="2">
        <v>5</v>
      </c>
      <c r="B6" t="s">
        <v>38</v>
      </c>
      <c r="C6" t="s">
        <v>105</v>
      </c>
    </row>
    <row r="7" spans="1:6" x14ac:dyDescent="0.25">
      <c r="A7" s="2">
        <v>6</v>
      </c>
      <c r="B7" t="s">
        <v>39</v>
      </c>
      <c r="C7" t="s">
        <v>105</v>
      </c>
    </row>
    <row r="8" spans="1:6" x14ac:dyDescent="0.25">
      <c r="A8" s="2">
        <v>7</v>
      </c>
      <c r="B8" t="s">
        <v>40</v>
      </c>
      <c r="C8" t="s">
        <v>105</v>
      </c>
    </row>
    <row r="9" spans="1:6" x14ac:dyDescent="0.25">
      <c r="A9" s="2">
        <v>8</v>
      </c>
      <c r="B9" t="s">
        <v>41</v>
      </c>
      <c r="C9" t="s">
        <v>105</v>
      </c>
    </row>
    <row r="10" spans="1:6" x14ac:dyDescent="0.25">
      <c r="A10" s="2">
        <v>9</v>
      </c>
      <c r="B10" t="s">
        <v>42</v>
      </c>
      <c r="C10" t="s">
        <v>100</v>
      </c>
    </row>
    <row r="11" spans="1:6" x14ac:dyDescent="0.25">
      <c r="A11" s="2">
        <v>10</v>
      </c>
      <c r="B11" t="s">
        <v>43</v>
      </c>
      <c r="C11" t="s">
        <v>105</v>
      </c>
    </row>
    <row r="12" spans="1:6" x14ac:dyDescent="0.25">
      <c r="A12" s="2">
        <v>11</v>
      </c>
      <c r="B12" t="s">
        <v>44</v>
      </c>
      <c r="C12" t="s">
        <v>105</v>
      </c>
    </row>
    <row r="13" spans="1:6" x14ac:dyDescent="0.25">
      <c r="A13" s="2">
        <v>12</v>
      </c>
      <c r="B13" t="s">
        <v>45</v>
      </c>
      <c r="C13" t="s">
        <v>105</v>
      </c>
    </row>
    <row r="14" spans="1:6" x14ac:dyDescent="0.25">
      <c r="A14" s="2">
        <v>13</v>
      </c>
      <c r="B14" t="s">
        <v>46</v>
      </c>
      <c r="C14" t="s">
        <v>100</v>
      </c>
    </row>
    <row r="15" spans="1:6" x14ac:dyDescent="0.25">
      <c r="A15" s="2">
        <v>14</v>
      </c>
      <c r="B15" t="s">
        <v>47</v>
      </c>
      <c r="C15" t="s">
        <v>100</v>
      </c>
    </row>
    <row r="16" spans="1:6" x14ac:dyDescent="0.25">
      <c r="A16" s="2">
        <v>15</v>
      </c>
      <c r="B16" t="s">
        <v>48</v>
      </c>
      <c r="C16" t="s">
        <v>100</v>
      </c>
    </row>
    <row r="17" spans="1:3" x14ac:dyDescent="0.25">
      <c r="A17" s="2">
        <v>16</v>
      </c>
      <c r="B17" t="s">
        <v>49</v>
      </c>
      <c r="C17" t="s">
        <v>100</v>
      </c>
    </row>
    <row r="18" spans="1:3" x14ac:dyDescent="0.25">
      <c r="A18" s="2">
        <v>17</v>
      </c>
      <c r="B18" t="s">
        <v>50</v>
      </c>
      <c r="C18" t="s">
        <v>100</v>
      </c>
    </row>
    <row r="19" spans="1:3" x14ac:dyDescent="0.25">
      <c r="A19" s="2">
        <v>18</v>
      </c>
      <c r="B19" t="s">
        <v>51</v>
      </c>
      <c r="C19" t="s">
        <v>100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34"/>
  <sheetViews>
    <sheetView workbookViewId="0">
      <selection activeCell="E19" sqref="E19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11" bestFit="1" customWidth="1"/>
    <col min="5" max="5" width="46.28515625" customWidth="1"/>
  </cols>
  <sheetData>
    <row r="1" spans="1:5" x14ac:dyDescent="0.25">
      <c r="A1" s="3" t="s">
        <v>18</v>
      </c>
      <c r="B1" s="3" t="s">
        <v>19</v>
      </c>
      <c r="C1" s="3" t="s">
        <v>26</v>
      </c>
      <c r="D1" s="10" t="s">
        <v>52</v>
      </c>
      <c r="E1" s="3" t="s">
        <v>57</v>
      </c>
    </row>
    <row r="2" spans="1:5" x14ac:dyDescent="0.25">
      <c r="A2">
        <v>1</v>
      </c>
      <c r="B2" t="s">
        <v>65</v>
      </c>
      <c r="C2" t="s">
        <v>62</v>
      </c>
      <c r="D2" s="11">
        <v>3.5</v>
      </c>
    </row>
    <row r="3" spans="1:5" x14ac:dyDescent="0.25">
      <c r="A3">
        <v>2</v>
      </c>
      <c r="B3" t="s">
        <v>66</v>
      </c>
      <c r="C3" t="s">
        <v>62</v>
      </c>
      <c r="D3" s="11">
        <v>3.5</v>
      </c>
    </row>
    <row r="4" spans="1:5" x14ac:dyDescent="0.25">
      <c r="A4">
        <v>3</v>
      </c>
      <c r="B4" t="s">
        <v>67</v>
      </c>
      <c r="C4" t="s">
        <v>62</v>
      </c>
      <c r="D4" s="11">
        <v>3.5</v>
      </c>
    </row>
    <row r="5" spans="1:5" x14ac:dyDescent="0.25">
      <c r="A5">
        <v>4</v>
      </c>
      <c r="B5" t="s">
        <v>78</v>
      </c>
      <c r="C5" t="s">
        <v>84</v>
      </c>
      <c r="D5" s="11">
        <v>7</v>
      </c>
    </row>
    <row r="6" spans="1:5" x14ac:dyDescent="0.25">
      <c r="A6">
        <v>5</v>
      </c>
      <c r="B6" t="s">
        <v>69</v>
      </c>
      <c r="C6" t="s">
        <v>31</v>
      </c>
      <c r="D6" s="11">
        <v>4</v>
      </c>
    </row>
    <row r="7" spans="1:5" x14ac:dyDescent="0.25">
      <c r="A7">
        <v>6</v>
      </c>
      <c r="B7" t="s">
        <v>70</v>
      </c>
      <c r="C7" t="s">
        <v>31</v>
      </c>
      <c r="D7" s="11">
        <v>5</v>
      </c>
    </row>
    <row r="8" spans="1:5" x14ac:dyDescent="0.25">
      <c r="A8">
        <v>7</v>
      </c>
      <c r="B8" t="s">
        <v>53</v>
      </c>
      <c r="C8" t="s">
        <v>31</v>
      </c>
      <c r="D8" s="11">
        <v>6</v>
      </c>
    </row>
    <row r="9" spans="1:5" x14ac:dyDescent="0.25">
      <c r="A9">
        <v>8</v>
      </c>
      <c r="B9" t="s">
        <v>76</v>
      </c>
      <c r="C9" t="s">
        <v>63</v>
      </c>
      <c r="D9" s="11">
        <v>5</v>
      </c>
    </row>
    <row r="10" spans="1:5" x14ac:dyDescent="0.25">
      <c r="A10">
        <v>9</v>
      </c>
      <c r="B10" t="s">
        <v>79</v>
      </c>
      <c r="C10" t="s">
        <v>84</v>
      </c>
      <c r="D10" s="11">
        <v>6</v>
      </c>
    </row>
    <row r="11" spans="1:5" x14ac:dyDescent="0.25">
      <c r="A11">
        <v>10</v>
      </c>
      <c r="B11" t="s">
        <v>71</v>
      </c>
      <c r="C11" t="s">
        <v>63</v>
      </c>
      <c r="D11" s="11">
        <v>5</v>
      </c>
    </row>
    <row r="12" spans="1:5" x14ac:dyDescent="0.25">
      <c r="A12">
        <v>11</v>
      </c>
      <c r="B12" t="s">
        <v>72</v>
      </c>
      <c r="C12" t="s">
        <v>63</v>
      </c>
      <c r="D12" s="11">
        <v>5</v>
      </c>
    </row>
    <row r="13" spans="1:5" x14ac:dyDescent="0.25">
      <c r="A13">
        <v>12</v>
      </c>
      <c r="B13" t="s">
        <v>73</v>
      </c>
      <c r="C13" t="s">
        <v>63</v>
      </c>
      <c r="D13" s="11">
        <v>5</v>
      </c>
    </row>
    <row r="14" spans="1:5" x14ac:dyDescent="0.25">
      <c r="A14">
        <v>13</v>
      </c>
      <c r="B14" t="s">
        <v>74</v>
      </c>
      <c r="C14" t="s">
        <v>63</v>
      </c>
      <c r="D14" s="11">
        <v>5</v>
      </c>
    </row>
    <row r="15" spans="1:5" x14ac:dyDescent="0.25">
      <c r="A15">
        <v>14</v>
      </c>
      <c r="B15" t="s">
        <v>80</v>
      </c>
      <c r="C15" t="s">
        <v>31</v>
      </c>
      <c r="D15" s="11">
        <v>3</v>
      </c>
    </row>
    <row r="16" spans="1:5" x14ac:dyDescent="0.25">
      <c r="A16">
        <v>15</v>
      </c>
      <c r="B16" t="s">
        <v>81</v>
      </c>
      <c r="C16" t="s">
        <v>31</v>
      </c>
      <c r="D16" s="11">
        <v>5</v>
      </c>
    </row>
    <row r="17" spans="1:4" x14ac:dyDescent="0.25">
      <c r="A17">
        <v>16</v>
      </c>
      <c r="B17" t="s">
        <v>82</v>
      </c>
      <c r="C17" t="s">
        <v>31</v>
      </c>
      <c r="D17" s="11">
        <v>3.5</v>
      </c>
    </row>
    <row r="18" spans="1:4" x14ac:dyDescent="0.25">
      <c r="A18">
        <v>17</v>
      </c>
      <c r="B18" t="s">
        <v>75</v>
      </c>
      <c r="C18" t="s">
        <v>64</v>
      </c>
      <c r="D18" s="11">
        <v>15</v>
      </c>
    </row>
    <row r="19" spans="1:4" x14ac:dyDescent="0.25">
      <c r="A19">
        <v>18</v>
      </c>
      <c r="B19" t="s">
        <v>77</v>
      </c>
      <c r="C19" t="s">
        <v>64</v>
      </c>
      <c r="D19" s="11">
        <v>15</v>
      </c>
    </row>
    <row r="20" spans="1:4" x14ac:dyDescent="0.25">
      <c r="A20">
        <v>19</v>
      </c>
      <c r="B20" t="s">
        <v>83</v>
      </c>
      <c r="C20" t="s">
        <v>64</v>
      </c>
      <c r="D20" s="11">
        <v>10</v>
      </c>
    </row>
    <row r="21" spans="1:4" x14ac:dyDescent="0.25">
      <c r="A21">
        <v>20</v>
      </c>
      <c r="B21" t="s">
        <v>85</v>
      </c>
      <c r="C21" t="s">
        <v>28</v>
      </c>
      <c r="D21" s="11">
        <v>15</v>
      </c>
    </row>
    <row r="22" spans="1:4" x14ac:dyDescent="0.25">
      <c r="A22">
        <v>21</v>
      </c>
      <c r="B22" t="s">
        <v>86</v>
      </c>
      <c r="C22" t="s">
        <v>28</v>
      </c>
      <c r="D22" s="11">
        <v>15</v>
      </c>
    </row>
    <row r="23" spans="1:4" x14ac:dyDescent="0.25">
      <c r="A23">
        <v>22</v>
      </c>
      <c r="B23" t="s">
        <v>87</v>
      </c>
      <c r="C23" t="s">
        <v>32</v>
      </c>
      <c r="D23" s="11">
        <v>80</v>
      </c>
    </row>
    <row r="24" spans="1:4" x14ac:dyDescent="0.25">
      <c r="A24">
        <v>23</v>
      </c>
      <c r="B24" t="s">
        <v>88</v>
      </c>
      <c r="C24" t="s">
        <v>32</v>
      </c>
      <c r="D24" s="11">
        <v>80</v>
      </c>
    </row>
    <row r="25" spans="1:4" x14ac:dyDescent="0.25">
      <c r="A25">
        <v>24</v>
      </c>
      <c r="B25" t="s">
        <v>89</v>
      </c>
      <c r="C25" t="s">
        <v>33</v>
      </c>
      <c r="D25" s="11">
        <v>60</v>
      </c>
    </row>
    <row r="26" spans="1:4" x14ac:dyDescent="0.25">
      <c r="A26">
        <v>25</v>
      </c>
      <c r="B26" t="s">
        <v>90</v>
      </c>
      <c r="C26" t="s">
        <v>33</v>
      </c>
      <c r="D26" s="11">
        <v>40</v>
      </c>
    </row>
    <row r="27" spans="1:4" x14ac:dyDescent="0.25">
      <c r="A27">
        <v>26</v>
      </c>
      <c r="B27" t="s">
        <v>91</v>
      </c>
      <c r="C27" t="s">
        <v>33</v>
      </c>
      <c r="D27" s="11">
        <v>40</v>
      </c>
    </row>
    <row r="28" spans="1:4" x14ac:dyDescent="0.25">
      <c r="A28">
        <v>27</v>
      </c>
      <c r="B28" t="s">
        <v>92</v>
      </c>
      <c r="C28" t="s">
        <v>33</v>
      </c>
      <c r="D28" s="11">
        <v>40</v>
      </c>
    </row>
    <row r="29" spans="1:4" x14ac:dyDescent="0.25">
      <c r="A29">
        <v>28</v>
      </c>
      <c r="B29" t="s">
        <v>93</v>
      </c>
      <c r="C29" t="s">
        <v>33</v>
      </c>
      <c r="D29" s="11">
        <v>50</v>
      </c>
    </row>
    <row r="30" spans="1:4" x14ac:dyDescent="0.25">
      <c r="A30">
        <v>29</v>
      </c>
      <c r="B30" t="s">
        <v>94</v>
      </c>
      <c r="C30" t="s">
        <v>33</v>
      </c>
      <c r="D30" s="11">
        <v>20</v>
      </c>
    </row>
    <row r="31" spans="1:4" x14ac:dyDescent="0.25">
      <c r="A31">
        <v>30</v>
      </c>
      <c r="B31" t="s">
        <v>95</v>
      </c>
      <c r="C31" t="s">
        <v>33</v>
      </c>
      <c r="D31" s="11">
        <v>20</v>
      </c>
    </row>
    <row r="32" spans="1:4" x14ac:dyDescent="0.25">
      <c r="A32">
        <v>31</v>
      </c>
      <c r="B32" t="s">
        <v>96</v>
      </c>
      <c r="C32" t="s">
        <v>33</v>
      </c>
      <c r="D32" s="11">
        <v>40</v>
      </c>
    </row>
    <row r="33" spans="1:4" x14ac:dyDescent="0.25">
      <c r="A33">
        <v>32</v>
      </c>
      <c r="B33" t="s">
        <v>97</v>
      </c>
      <c r="C33" t="s">
        <v>33</v>
      </c>
      <c r="D33" s="11">
        <v>20</v>
      </c>
    </row>
    <row r="34" spans="1:4" x14ac:dyDescent="0.25">
      <c r="A34">
        <v>33</v>
      </c>
      <c r="B34" t="s">
        <v>98</v>
      </c>
      <c r="C34" t="s">
        <v>33</v>
      </c>
      <c r="D34" s="11">
        <v>30</v>
      </c>
    </row>
  </sheetData>
  <dataValidations count="1">
    <dataValidation type="list" allowBlank="1" showInputMessage="1" showErrorMessage="1" sqref="C2:C1048576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12"/>
  <sheetViews>
    <sheetView workbookViewId="0">
      <selection activeCell="E18" sqref="E18"/>
    </sheetView>
  </sheetViews>
  <sheetFormatPr defaultRowHeight="15" x14ac:dyDescent="0.25"/>
  <cols>
    <col min="1" max="1" width="11.140625" bestFit="1" customWidth="1"/>
    <col min="2" max="2" width="22.42578125" bestFit="1" customWidth="1"/>
  </cols>
  <sheetData>
    <row r="1" spans="1:2" x14ac:dyDescent="0.25">
      <c r="A1" t="s">
        <v>27</v>
      </c>
      <c r="B1" t="s">
        <v>26</v>
      </c>
    </row>
    <row r="2" spans="1:2" x14ac:dyDescent="0.25">
      <c r="A2">
        <v>1</v>
      </c>
      <c r="B2" t="s">
        <v>32</v>
      </c>
    </row>
    <row r="3" spans="1:2" x14ac:dyDescent="0.25">
      <c r="A3">
        <v>2</v>
      </c>
      <c r="B3" t="s">
        <v>28</v>
      </c>
    </row>
    <row r="4" spans="1:2" x14ac:dyDescent="0.25">
      <c r="A4">
        <v>3</v>
      </c>
      <c r="B4" t="s">
        <v>29</v>
      </c>
    </row>
    <row r="5" spans="1:2" x14ac:dyDescent="0.25">
      <c r="A5">
        <v>4</v>
      </c>
      <c r="B5" t="s">
        <v>63</v>
      </c>
    </row>
    <row r="6" spans="1:2" x14ac:dyDescent="0.25">
      <c r="A6">
        <v>5</v>
      </c>
      <c r="B6" t="s">
        <v>64</v>
      </c>
    </row>
    <row r="7" spans="1:2" x14ac:dyDescent="0.25">
      <c r="A7">
        <v>6</v>
      </c>
      <c r="B7" t="s">
        <v>62</v>
      </c>
    </row>
    <row r="8" spans="1:2" x14ac:dyDescent="0.25">
      <c r="A8">
        <v>7</v>
      </c>
      <c r="B8" t="s">
        <v>30</v>
      </c>
    </row>
    <row r="9" spans="1:2" x14ac:dyDescent="0.25">
      <c r="A9">
        <v>8</v>
      </c>
      <c r="B9" t="s">
        <v>31</v>
      </c>
    </row>
    <row r="10" spans="1:2" x14ac:dyDescent="0.25">
      <c r="A10">
        <v>9</v>
      </c>
      <c r="B10" t="s">
        <v>33</v>
      </c>
    </row>
    <row r="11" spans="1:2" x14ac:dyDescent="0.25">
      <c r="A11">
        <v>10</v>
      </c>
      <c r="B11" t="s">
        <v>56</v>
      </c>
    </row>
    <row r="12" spans="1:2" x14ac:dyDescent="0.25">
      <c r="A12">
        <v>11</v>
      </c>
      <c r="B12" t="s">
        <v>84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38"/>
  <sheetViews>
    <sheetView tabSelected="1" topLeftCell="G1" zoomScale="90" zoomScaleNormal="90" workbookViewId="0">
      <selection activeCell="Q1" sqref="Q1:T1048576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9" customWidth="1"/>
    <col min="4" max="4" width="13.7109375" bestFit="1" customWidth="1"/>
    <col min="5" max="5" width="20.7109375" bestFit="1" customWidth="1"/>
    <col min="6" max="6" width="18.140625" bestFit="1" customWidth="1"/>
    <col min="7" max="7" width="18.140625" customWidth="1"/>
    <col min="8" max="8" width="24.140625" customWidth="1"/>
    <col min="9" max="9" width="13.42578125" style="11" customWidth="1"/>
    <col min="10" max="10" width="14.7109375" customWidth="1"/>
    <col min="11" max="11" width="13.140625" style="11" bestFit="1" customWidth="1"/>
    <col min="12" max="12" width="9.85546875" style="18" bestFit="1" customWidth="1"/>
    <col min="13" max="13" width="8.42578125" style="11" bestFit="1" customWidth="1"/>
    <col min="14" max="14" width="10.42578125" customWidth="1"/>
    <col min="15" max="16" width="9.140625" style="2"/>
  </cols>
  <sheetData>
    <row r="1" spans="1:16" x14ac:dyDescent="0.25">
      <c r="A1" s="8" t="s">
        <v>0</v>
      </c>
      <c r="B1" s="8" t="s">
        <v>22</v>
      </c>
      <c r="C1" s="13" t="s">
        <v>20</v>
      </c>
      <c r="D1" s="8" t="s">
        <v>18</v>
      </c>
      <c r="E1" s="8" t="s">
        <v>19</v>
      </c>
      <c r="F1" s="8" t="s">
        <v>26</v>
      </c>
      <c r="G1" s="8" t="s">
        <v>101</v>
      </c>
      <c r="H1" s="8" t="s">
        <v>21</v>
      </c>
      <c r="I1" s="14" t="s">
        <v>23</v>
      </c>
      <c r="J1" s="8" t="s">
        <v>24</v>
      </c>
      <c r="K1" s="14" t="s">
        <v>54</v>
      </c>
      <c r="L1" s="17" t="s">
        <v>102</v>
      </c>
      <c r="M1" s="14" t="s">
        <v>17</v>
      </c>
      <c r="N1" s="8" t="s">
        <v>25</v>
      </c>
      <c r="O1" s="19" t="s">
        <v>103</v>
      </c>
      <c r="P1" s="19" t="s">
        <v>104</v>
      </c>
    </row>
    <row r="2" spans="1:16" x14ac:dyDescent="0.25">
      <c r="A2">
        <v>1</v>
      </c>
      <c r="B2" s="12">
        <v>42722</v>
      </c>
      <c r="C2" s="9">
        <v>0</v>
      </c>
      <c r="D2">
        <v>0</v>
      </c>
      <c r="E2" t="s">
        <v>67</v>
      </c>
      <c r="F2" t="s">
        <v>62</v>
      </c>
      <c r="H2" t="s">
        <v>59</v>
      </c>
      <c r="I2" s="11">
        <v>0</v>
      </c>
      <c r="J2">
        <v>0</v>
      </c>
      <c r="K2" s="11">
        <v>0</v>
      </c>
      <c r="N2" t="s">
        <v>99</v>
      </c>
    </row>
    <row r="3" spans="1:16" x14ac:dyDescent="0.25">
      <c r="A3">
        <v>2</v>
      </c>
      <c r="B3" s="12">
        <v>42724</v>
      </c>
      <c r="C3" s="9">
        <v>1</v>
      </c>
      <c r="D3">
        <v>4</v>
      </c>
      <c r="E3" t="s">
        <v>68</v>
      </c>
      <c r="F3" t="s">
        <v>62</v>
      </c>
      <c r="G3">
        <v>2</v>
      </c>
      <c r="H3" t="s">
        <v>59</v>
      </c>
      <c r="I3" s="11">
        <v>3.5</v>
      </c>
      <c r="J3">
        <v>1</v>
      </c>
      <c r="K3" s="11">
        <v>3.5</v>
      </c>
      <c r="L3" s="18">
        <v>3</v>
      </c>
      <c r="M3" s="11" t="s">
        <v>36</v>
      </c>
      <c r="N3" t="s">
        <v>105</v>
      </c>
      <c r="O3" s="2">
        <v>12</v>
      </c>
      <c r="P3" s="2">
        <v>2016</v>
      </c>
    </row>
    <row r="4" spans="1:16" x14ac:dyDescent="0.25">
      <c r="A4">
        <v>3</v>
      </c>
      <c r="B4" s="12">
        <v>42724</v>
      </c>
      <c r="C4" s="9">
        <v>2</v>
      </c>
      <c r="D4">
        <v>3</v>
      </c>
      <c r="E4" t="s">
        <v>67</v>
      </c>
      <c r="F4" t="s">
        <v>62</v>
      </c>
      <c r="G4">
        <v>4</v>
      </c>
      <c r="H4" t="s">
        <v>60</v>
      </c>
      <c r="I4" s="11">
        <v>3.5</v>
      </c>
      <c r="J4">
        <v>11</v>
      </c>
      <c r="K4" s="11">
        <v>38.5</v>
      </c>
      <c r="L4" s="18">
        <v>11</v>
      </c>
      <c r="M4" s="11" t="s">
        <v>44</v>
      </c>
      <c r="N4" t="s">
        <v>105</v>
      </c>
      <c r="O4" s="2">
        <v>12</v>
      </c>
      <c r="P4" s="2">
        <v>2016</v>
      </c>
    </row>
    <row r="5" spans="1:16" x14ac:dyDescent="0.25">
      <c r="A5">
        <v>4</v>
      </c>
      <c r="B5" s="12">
        <v>42724</v>
      </c>
      <c r="C5" s="9">
        <v>3</v>
      </c>
      <c r="D5">
        <v>21</v>
      </c>
      <c r="E5" t="s">
        <v>85</v>
      </c>
      <c r="F5" t="s">
        <v>28</v>
      </c>
      <c r="G5">
        <v>3</v>
      </c>
      <c r="H5" t="s">
        <v>55</v>
      </c>
      <c r="I5" s="11">
        <v>15</v>
      </c>
      <c r="J5">
        <v>3</v>
      </c>
      <c r="K5" s="11">
        <v>45</v>
      </c>
      <c r="L5" s="18">
        <v>4</v>
      </c>
      <c r="M5" s="11" t="s">
        <v>37</v>
      </c>
      <c r="N5" t="s">
        <v>105</v>
      </c>
      <c r="O5" s="2">
        <v>12</v>
      </c>
      <c r="P5" s="2">
        <v>2016</v>
      </c>
    </row>
    <row r="6" spans="1:16" x14ac:dyDescent="0.25">
      <c r="A6">
        <v>5</v>
      </c>
      <c r="B6" s="12">
        <v>42724</v>
      </c>
      <c r="C6" s="9">
        <v>3</v>
      </c>
      <c r="D6">
        <v>5</v>
      </c>
      <c r="E6" t="s">
        <v>78</v>
      </c>
      <c r="F6" t="s">
        <v>84</v>
      </c>
      <c r="G6">
        <v>3</v>
      </c>
      <c r="H6" t="s">
        <v>55</v>
      </c>
      <c r="I6" s="11">
        <v>7</v>
      </c>
      <c r="J6">
        <v>2</v>
      </c>
      <c r="K6" s="11">
        <v>14</v>
      </c>
      <c r="L6" s="18">
        <v>4</v>
      </c>
      <c r="M6" s="11" t="s">
        <v>37</v>
      </c>
      <c r="N6" t="s">
        <v>105</v>
      </c>
      <c r="O6" s="2">
        <v>12</v>
      </c>
      <c r="P6" s="2">
        <v>2016</v>
      </c>
    </row>
    <row r="7" spans="1:16" x14ac:dyDescent="0.25">
      <c r="A7">
        <v>6</v>
      </c>
      <c r="B7" s="12">
        <v>42724</v>
      </c>
      <c r="C7" s="9">
        <v>3</v>
      </c>
      <c r="D7">
        <v>19</v>
      </c>
      <c r="E7" t="s">
        <v>77</v>
      </c>
      <c r="F7" t="s">
        <v>64</v>
      </c>
      <c r="G7">
        <v>3</v>
      </c>
      <c r="H7" t="s">
        <v>55</v>
      </c>
      <c r="I7" s="11">
        <v>15</v>
      </c>
      <c r="J7">
        <v>1</v>
      </c>
      <c r="K7" s="11">
        <v>15</v>
      </c>
      <c r="L7" s="18">
        <v>4</v>
      </c>
      <c r="M7" s="11" t="s">
        <v>37</v>
      </c>
      <c r="N7" t="s">
        <v>105</v>
      </c>
      <c r="O7" s="2">
        <v>12</v>
      </c>
      <c r="P7" s="2">
        <v>2016</v>
      </c>
    </row>
    <row r="8" spans="1:16" x14ac:dyDescent="0.25">
      <c r="A8">
        <v>7</v>
      </c>
      <c r="B8" s="12">
        <v>42724</v>
      </c>
      <c r="C8" s="9">
        <v>4</v>
      </c>
      <c r="D8">
        <v>21</v>
      </c>
      <c r="E8" t="s">
        <v>85</v>
      </c>
      <c r="F8" t="s">
        <v>28</v>
      </c>
      <c r="G8">
        <v>4</v>
      </c>
      <c r="H8" t="s">
        <v>60</v>
      </c>
      <c r="I8" s="11">
        <v>15</v>
      </c>
      <c r="J8">
        <v>1</v>
      </c>
      <c r="K8" s="11">
        <v>15</v>
      </c>
      <c r="L8" s="18">
        <v>8</v>
      </c>
      <c r="M8" s="11" t="s">
        <v>41</v>
      </c>
      <c r="N8" t="s">
        <v>105</v>
      </c>
      <c r="O8" s="2">
        <v>12</v>
      </c>
      <c r="P8" s="2">
        <v>2016</v>
      </c>
    </row>
    <row r="9" spans="1:16" x14ac:dyDescent="0.25">
      <c r="A9">
        <v>8</v>
      </c>
      <c r="B9" s="12">
        <v>42724</v>
      </c>
      <c r="C9" s="9">
        <v>4</v>
      </c>
      <c r="D9">
        <v>26</v>
      </c>
      <c r="E9" t="s">
        <v>90</v>
      </c>
      <c r="F9" t="s">
        <v>33</v>
      </c>
      <c r="G9">
        <v>4</v>
      </c>
      <c r="H9" t="s">
        <v>60</v>
      </c>
      <c r="I9" s="11">
        <v>40</v>
      </c>
      <c r="J9">
        <v>1</v>
      </c>
      <c r="K9" s="11">
        <v>40</v>
      </c>
      <c r="L9" s="18">
        <v>8</v>
      </c>
      <c r="M9" s="11" t="s">
        <v>41</v>
      </c>
      <c r="N9" t="s">
        <v>105</v>
      </c>
      <c r="O9" s="2">
        <v>12</v>
      </c>
      <c r="P9" s="2">
        <v>2016</v>
      </c>
    </row>
    <row r="10" spans="1:16" x14ac:dyDescent="0.25">
      <c r="A10">
        <v>9</v>
      </c>
      <c r="B10" s="12">
        <v>42724</v>
      </c>
      <c r="C10" s="9">
        <v>4</v>
      </c>
      <c r="D10">
        <v>31</v>
      </c>
      <c r="E10" t="s">
        <v>95</v>
      </c>
      <c r="F10" t="s">
        <v>33</v>
      </c>
      <c r="G10">
        <v>4</v>
      </c>
      <c r="H10" t="s">
        <v>60</v>
      </c>
      <c r="I10" s="11">
        <v>20</v>
      </c>
      <c r="J10">
        <v>1</v>
      </c>
      <c r="K10" s="11">
        <v>20</v>
      </c>
      <c r="L10" s="18">
        <v>8</v>
      </c>
      <c r="M10" s="11" t="s">
        <v>41</v>
      </c>
      <c r="N10" t="s">
        <v>105</v>
      </c>
      <c r="O10" s="2">
        <v>12</v>
      </c>
      <c r="P10" s="2">
        <v>2016</v>
      </c>
    </row>
    <row r="11" spans="1:16" x14ac:dyDescent="0.25">
      <c r="A11">
        <v>10</v>
      </c>
      <c r="B11" s="12">
        <v>42724</v>
      </c>
      <c r="C11" s="9">
        <v>4</v>
      </c>
      <c r="D11">
        <v>2</v>
      </c>
      <c r="E11" t="s">
        <v>66</v>
      </c>
      <c r="F11" t="s">
        <v>62</v>
      </c>
      <c r="G11">
        <v>4</v>
      </c>
      <c r="H11" t="s">
        <v>60</v>
      </c>
      <c r="I11" s="11">
        <v>3.5</v>
      </c>
      <c r="J11">
        <v>4</v>
      </c>
      <c r="K11" s="11">
        <v>14</v>
      </c>
      <c r="L11" s="18">
        <v>8</v>
      </c>
      <c r="M11" s="11" t="s">
        <v>41</v>
      </c>
      <c r="N11" t="s">
        <v>105</v>
      </c>
      <c r="O11" s="2">
        <v>12</v>
      </c>
      <c r="P11" s="2">
        <v>2016</v>
      </c>
    </row>
    <row r="12" spans="1:16" x14ac:dyDescent="0.25">
      <c r="A12">
        <v>11</v>
      </c>
      <c r="B12" s="12">
        <v>42724</v>
      </c>
      <c r="C12" s="9">
        <v>4</v>
      </c>
      <c r="D12">
        <v>13</v>
      </c>
      <c r="E12" t="s">
        <v>73</v>
      </c>
      <c r="F12" t="s">
        <v>63</v>
      </c>
      <c r="G12">
        <v>4</v>
      </c>
      <c r="H12" t="s">
        <v>60</v>
      </c>
      <c r="I12" s="11">
        <v>5</v>
      </c>
      <c r="J12">
        <v>1</v>
      </c>
      <c r="K12" s="11">
        <v>5</v>
      </c>
      <c r="L12" s="18">
        <v>8</v>
      </c>
      <c r="M12" s="11" t="s">
        <v>41</v>
      </c>
      <c r="N12" t="s">
        <v>105</v>
      </c>
      <c r="O12" s="2">
        <v>12</v>
      </c>
      <c r="P12" s="2">
        <v>2016</v>
      </c>
    </row>
    <row r="13" spans="1:16" x14ac:dyDescent="0.25">
      <c r="A13">
        <v>12</v>
      </c>
      <c r="B13" s="12">
        <v>42724</v>
      </c>
      <c r="C13" s="9">
        <v>5</v>
      </c>
      <c r="D13">
        <v>2</v>
      </c>
      <c r="E13" t="s">
        <v>66</v>
      </c>
      <c r="F13" t="s">
        <v>62</v>
      </c>
      <c r="G13">
        <v>2</v>
      </c>
      <c r="H13" t="s">
        <v>59</v>
      </c>
      <c r="I13" s="11">
        <v>3.5</v>
      </c>
      <c r="J13">
        <v>1</v>
      </c>
      <c r="K13" s="11">
        <v>3.5</v>
      </c>
      <c r="L13" s="18">
        <v>6</v>
      </c>
      <c r="M13" s="11" t="s">
        <v>39</v>
      </c>
      <c r="N13" t="s">
        <v>105</v>
      </c>
      <c r="O13" s="2">
        <v>12</v>
      </c>
      <c r="P13" s="2">
        <v>2016</v>
      </c>
    </row>
    <row r="14" spans="1:16" x14ac:dyDescent="0.25">
      <c r="A14">
        <v>13</v>
      </c>
      <c r="B14" s="12">
        <v>42724</v>
      </c>
      <c r="C14" s="9">
        <v>6</v>
      </c>
      <c r="D14">
        <v>4</v>
      </c>
      <c r="E14" t="s">
        <v>68</v>
      </c>
      <c r="F14" t="s">
        <v>62</v>
      </c>
      <c r="G14">
        <v>3</v>
      </c>
      <c r="H14" t="s">
        <v>55</v>
      </c>
      <c r="I14" s="11">
        <v>3.5</v>
      </c>
      <c r="J14">
        <v>1</v>
      </c>
      <c r="K14" s="11">
        <v>3.5</v>
      </c>
      <c r="L14" s="18">
        <v>5</v>
      </c>
      <c r="M14" s="11" t="s">
        <v>38</v>
      </c>
      <c r="N14" t="s">
        <v>105</v>
      </c>
      <c r="O14" s="2">
        <v>12</v>
      </c>
      <c r="P14" s="2">
        <v>2016</v>
      </c>
    </row>
    <row r="15" spans="1:16" x14ac:dyDescent="0.25">
      <c r="A15">
        <v>14</v>
      </c>
      <c r="B15" s="12">
        <v>42724</v>
      </c>
      <c r="C15" s="9">
        <v>6</v>
      </c>
      <c r="D15">
        <v>6</v>
      </c>
      <c r="E15" t="s">
        <v>69</v>
      </c>
      <c r="F15" t="s">
        <v>31</v>
      </c>
      <c r="G15">
        <v>3</v>
      </c>
      <c r="H15" t="s">
        <v>55</v>
      </c>
      <c r="I15" s="11">
        <v>4</v>
      </c>
      <c r="J15">
        <v>3</v>
      </c>
      <c r="K15" s="11">
        <v>12</v>
      </c>
      <c r="L15" s="18">
        <v>5</v>
      </c>
      <c r="M15" s="11" t="s">
        <v>38</v>
      </c>
      <c r="N15" t="s">
        <v>105</v>
      </c>
      <c r="O15" s="2">
        <v>12</v>
      </c>
      <c r="P15" s="2">
        <v>2016</v>
      </c>
    </row>
    <row r="16" spans="1:16" x14ac:dyDescent="0.25">
      <c r="A16">
        <v>15</v>
      </c>
      <c r="B16" s="12">
        <v>42724</v>
      </c>
      <c r="C16" s="9">
        <v>7</v>
      </c>
      <c r="D16">
        <v>3</v>
      </c>
      <c r="E16" t="s">
        <v>67</v>
      </c>
      <c r="F16" t="s">
        <v>62</v>
      </c>
      <c r="G16">
        <v>2</v>
      </c>
      <c r="H16" t="s">
        <v>59</v>
      </c>
      <c r="I16" s="11">
        <v>3.5</v>
      </c>
      <c r="J16">
        <v>3</v>
      </c>
      <c r="K16" s="11">
        <v>10.5</v>
      </c>
      <c r="L16" s="18">
        <v>7</v>
      </c>
      <c r="M16" s="11" t="s">
        <v>40</v>
      </c>
      <c r="N16" t="s">
        <v>105</v>
      </c>
      <c r="O16" s="2">
        <v>12</v>
      </c>
      <c r="P16" s="2">
        <v>2016</v>
      </c>
    </row>
    <row r="17" spans="1:16" x14ac:dyDescent="0.25">
      <c r="A17">
        <v>16</v>
      </c>
      <c r="B17" s="12">
        <v>42724</v>
      </c>
      <c r="C17" s="9">
        <v>3</v>
      </c>
      <c r="D17">
        <v>2</v>
      </c>
      <c r="E17" t="s">
        <v>66</v>
      </c>
      <c r="F17" t="s">
        <v>62</v>
      </c>
      <c r="G17">
        <v>2</v>
      </c>
      <c r="H17" t="s">
        <v>59</v>
      </c>
      <c r="I17" s="11">
        <v>3.5</v>
      </c>
      <c r="J17">
        <v>1</v>
      </c>
      <c r="K17" s="11">
        <v>3.5</v>
      </c>
      <c r="L17" s="18">
        <v>4</v>
      </c>
      <c r="M17" s="11" t="s">
        <v>111</v>
      </c>
      <c r="N17" t="s">
        <v>105</v>
      </c>
      <c r="O17" s="2">
        <v>12</v>
      </c>
      <c r="P17" s="2">
        <v>2016</v>
      </c>
    </row>
    <row r="18" spans="1:16" x14ac:dyDescent="0.25">
      <c r="A18">
        <v>17</v>
      </c>
      <c r="B18" s="12">
        <v>42724</v>
      </c>
      <c r="C18" s="9">
        <v>1</v>
      </c>
      <c r="D18">
        <v>3</v>
      </c>
      <c r="E18" t="s">
        <v>67</v>
      </c>
      <c r="F18" t="s">
        <v>62</v>
      </c>
      <c r="G18">
        <v>2</v>
      </c>
      <c r="H18" t="s">
        <v>59</v>
      </c>
      <c r="I18" s="11">
        <v>3.5</v>
      </c>
      <c r="J18">
        <v>3</v>
      </c>
      <c r="K18" s="11">
        <v>10.5</v>
      </c>
      <c r="L18" s="18">
        <v>3</v>
      </c>
      <c r="M18" s="11" t="s">
        <v>112</v>
      </c>
      <c r="N18" t="s">
        <v>105</v>
      </c>
      <c r="O18" s="2">
        <v>12</v>
      </c>
      <c r="P18" s="2">
        <v>2016</v>
      </c>
    </row>
    <row r="19" spans="1:16" x14ac:dyDescent="0.25">
      <c r="A19">
        <v>18</v>
      </c>
      <c r="B19" s="12">
        <v>42724</v>
      </c>
      <c r="C19" s="9">
        <v>1</v>
      </c>
      <c r="D19">
        <v>5</v>
      </c>
      <c r="E19" t="s">
        <v>78</v>
      </c>
      <c r="F19" t="s">
        <v>84</v>
      </c>
      <c r="G19">
        <v>2</v>
      </c>
      <c r="H19" t="s">
        <v>59</v>
      </c>
      <c r="I19" s="11">
        <v>7</v>
      </c>
      <c r="J19">
        <v>3</v>
      </c>
      <c r="K19" s="11">
        <v>21</v>
      </c>
      <c r="L19" s="18">
        <v>3</v>
      </c>
      <c r="M19" s="11" t="s">
        <v>112</v>
      </c>
      <c r="N19" t="s">
        <v>105</v>
      </c>
      <c r="O19" s="2">
        <v>12</v>
      </c>
      <c r="P19" s="2">
        <v>2016</v>
      </c>
    </row>
    <row r="20" spans="1:16" x14ac:dyDescent="0.25">
      <c r="A20">
        <v>19</v>
      </c>
      <c r="B20" s="12">
        <v>42724</v>
      </c>
      <c r="C20" s="9">
        <v>1</v>
      </c>
      <c r="D20">
        <v>19</v>
      </c>
      <c r="E20" t="s">
        <v>77</v>
      </c>
      <c r="F20" t="s">
        <v>64</v>
      </c>
      <c r="G20">
        <v>3</v>
      </c>
      <c r="H20" t="s">
        <v>55</v>
      </c>
      <c r="I20" s="11">
        <v>15</v>
      </c>
      <c r="J20">
        <v>1</v>
      </c>
      <c r="K20" s="11">
        <v>15</v>
      </c>
      <c r="L20" s="18">
        <v>3</v>
      </c>
      <c r="M20" s="11" t="s">
        <v>112</v>
      </c>
      <c r="N20" t="s">
        <v>105</v>
      </c>
      <c r="O20" s="2">
        <v>12</v>
      </c>
      <c r="P20" s="2">
        <v>2016</v>
      </c>
    </row>
    <row r="21" spans="1:16" x14ac:dyDescent="0.25">
      <c r="A21">
        <v>20</v>
      </c>
      <c r="B21" s="12">
        <v>42724</v>
      </c>
      <c r="C21" s="9">
        <v>1</v>
      </c>
      <c r="D21">
        <v>23</v>
      </c>
      <c r="E21" t="s">
        <v>87</v>
      </c>
      <c r="F21" t="s">
        <v>32</v>
      </c>
      <c r="G21">
        <v>3</v>
      </c>
      <c r="H21" t="s">
        <v>55</v>
      </c>
      <c r="I21" s="11">
        <v>80</v>
      </c>
      <c r="J21">
        <v>1</v>
      </c>
      <c r="K21" s="11">
        <v>80</v>
      </c>
      <c r="L21" s="18">
        <v>3</v>
      </c>
      <c r="M21" s="11" t="s">
        <v>112</v>
      </c>
      <c r="N21" t="s">
        <v>105</v>
      </c>
      <c r="O21" s="2">
        <v>12</v>
      </c>
      <c r="P21" s="2">
        <v>2016</v>
      </c>
    </row>
    <row r="22" spans="1:16" x14ac:dyDescent="0.25">
      <c r="A22">
        <v>21</v>
      </c>
      <c r="B22" s="12">
        <v>42724</v>
      </c>
      <c r="C22" s="9">
        <v>4</v>
      </c>
      <c r="D22">
        <v>3</v>
      </c>
      <c r="E22" t="s">
        <v>67</v>
      </c>
      <c r="F22" t="s">
        <v>62</v>
      </c>
      <c r="G22">
        <v>2</v>
      </c>
      <c r="H22" t="s">
        <v>59</v>
      </c>
      <c r="I22" s="11">
        <v>3.5</v>
      </c>
      <c r="J22">
        <v>3</v>
      </c>
      <c r="K22" s="11">
        <v>10.5</v>
      </c>
      <c r="L22" s="18">
        <v>8</v>
      </c>
      <c r="M22" s="11" t="s">
        <v>113</v>
      </c>
      <c r="N22" t="s">
        <v>105</v>
      </c>
      <c r="O22" s="2">
        <v>12</v>
      </c>
      <c r="P22" s="2">
        <v>2016</v>
      </c>
    </row>
    <row r="23" spans="1:16" x14ac:dyDescent="0.25">
      <c r="A23">
        <v>22</v>
      </c>
      <c r="B23" s="12">
        <v>42724</v>
      </c>
      <c r="C23" s="9">
        <v>3</v>
      </c>
      <c r="D23">
        <v>7</v>
      </c>
      <c r="E23" t="s">
        <v>70</v>
      </c>
      <c r="F23" t="s">
        <v>31</v>
      </c>
      <c r="G23">
        <v>3</v>
      </c>
      <c r="H23" t="s">
        <v>55</v>
      </c>
      <c r="I23" s="11">
        <v>5</v>
      </c>
      <c r="J23">
        <v>3</v>
      </c>
      <c r="K23" s="11">
        <v>15</v>
      </c>
      <c r="L23" s="18">
        <v>4</v>
      </c>
      <c r="M23" s="11" t="s">
        <v>111</v>
      </c>
      <c r="N23" t="s">
        <v>105</v>
      </c>
      <c r="O23" s="2">
        <v>12</v>
      </c>
      <c r="P23" s="2">
        <v>2016</v>
      </c>
    </row>
    <row r="24" spans="1:16" x14ac:dyDescent="0.25">
      <c r="A24">
        <v>23</v>
      </c>
      <c r="B24" s="12">
        <v>42724</v>
      </c>
      <c r="C24" s="9">
        <v>3</v>
      </c>
      <c r="D24">
        <v>5</v>
      </c>
      <c r="E24" t="s">
        <v>78</v>
      </c>
      <c r="F24" t="s">
        <v>84</v>
      </c>
      <c r="G24">
        <v>6</v>
      </c>
      <c r="H24" t="s">
        <v>109</v>
      </c>
      <c r="I24" s="11">
        <v>7</v>
      </c>
      <c r="J24">
        <v>2</v>
      </c>
      <c r="K24" s="11">
        <v>14</v>
      </c>
      <c r="L24" s="18">
        <v>4</v>
      </c>
      <c r="M24" s="11" t="s">
        <v>111</v>
      </c>
      <c r="N24" t="s">
        <v>105</v>
      </c>
      <c r="O24" s="2">
        <v>12</v>
      </c>
      <c r="P24" s="2">
        <v>2016</v>
      </c>
    </row>
    <row r="25" spans="1:16" x14ac:dyDescent="0.25">
      <c r="A25">
        <v>24</v>
      </c>
      <c r="B25" s="12">
        <v>42724</v>
      </c>
      <c r="C25" s="9">
        <v>3</v>
      </c>
      <c r="D25">
        <v>23</v>
      </c>
      <c r="E25" t="s">
        <v>87</v>
      </c>
      <c r="F25" t="s">
        <v>32</v>
      </c>
      <c r="G25">
        <v>5</v>
      </c>
      <c r="H25" t="s">
        <v>61</v>
      </c>
      <c r="I25" s="11">
        <v>80</v>
      </c>
      <c r="J25">
        <v>1</v>
      </c>
      <c r="K25" s="11">
        <v>80</v>
      </c>
      <c r="L25" s="18">
        <v>4</v>
      </c>
      <c r="M25" s="11" t="s">
        <v>111</v>
      </c>
      <c r="N25" t="s">
        <v>105</v>
      </c>
      <c r="O25" s="2">
        <v>12</v>
      </c>
      <c r="P25" s="2">
        <v>2016</v>
      </c>
    </row>
    <row r="26" spans="1:16" x14ac:dyDescent="0.25">
      <c r="A26">
        <v>25</v>
      </c>
      <c r="B26" s="12">
        <v>42724</v>
      </c>
      <c r="C26" s="9">
        <v>5</v>
      </c>
      <c r="D26">
        <v>24</v>
      </c>
      <c r="E26" t="s">
        <v>88</v>
      </c>
      <c r="F26" t="s">
        <v>32</v>
      </c>
      <c r="G26">
        <v>4</v>
      </c>
      <c r="H26" t="s">
        <v>60</v>
      </c>
      <c r="I26" s="11">
        <v>80</v>
      </c>
      <c r="J26">
        <v>1</v>
      </c>
      <c r="K26" s="11">
        <v>80</v>
      </c>
      <c r="L26" s="18">
        <v>6</v>
      </c>
      <c r="M26" s="11" t="s">
        <v>114</v>
      </c>
      <c r="N26" t="s">
        <v>105</v>
      </c>
      <c r="O26" s="2">
        <v>12</v>
      </c>
      <c r="P26" s="2">
        <v>2016</v>
      </c>
    </row>
    <row r="27" spans="1:16" x14ac:dyDescent="0.25">
      <c r="A27">
        <v>26</v>
      </c>
      <c r="B27" s="12">
        <v>42724</v>
      </c>
      <c r="C27" s="9">
        <v>3</v>
      </c>
      <c r="D27">
        <v>4</v>
      </c>
      <c r="E27" t="s">
        <v>68</v>
      </c>
      <c r="F27" t="s">
        <v>62</v>
      </c>
      <c r="G27">
        <v>4</v>
      </c>
      <c r="H27" t="s">
        <v>60</v>
      </c>
      <c r="I27" s="11">
        <v>3.5</v>
      </c>
      <c r="J27">
        <v>1</v>
      </c>
      <c r="K27" s="11">
        <v>3.5</v>
      </c>
      <c r="L27" s="18">
        <v>4</v>
      </c>
      <c r="M27" s="11" t="s">
        <v>111</v>
      </c>
      <c r="N27" t="s">
        <v>105</v>
      </c>
      <c r="O27" s="2">
        <v>12</v>
      </c>
      <c r="P27" s="2">
        <v>2016</v>
      </c>
    </row>
    <row r="28" spans="1:16" x14ac:dyDescent="0.25">
      <c r="A28">
        <v>27</v>
      </c>
      <c r="B28" s="12">
        <v>42724</v>
      </c>
      <c r="C28" s="9">
        <v>8</v>
      </c>
      <c r="D28">
        <v>7</v>
      </c>
      <c r="E28" t="s">
        <v>70</v>
      </c>
      <c r="F28" t="s">
        <v>31</v>
      </c>
      <c r="G28">
        <v>3</v>
      </c>
      <c r="H28" t="s">
        <v>55</v>
      </c>
      <c r="I28" s="11">
        <v>5</v>
      </c>
      <c r="J28">
        <v>1</v>
      </c>
      <c r="K28" s="11">
        <v>5</v>
      </c>
      <c r="L28" s="18">
        <v>10</v>
      </c>
      <c r="M28" s="11" t="s">
        <v>43</v>
      </c>
      <c r="N28" t="s">
        <v>105</v>
      </c>
      <c r="O28" s="2">
        <v>12</v>
      </c>
      <c r="P28" s="2">
        <v>2016</v>
      </c>
    </row>
    <row r="29" spans="1:16" x14ac:dyDescent="0.25">
      <c r="A29">
        <v>28</v>
      </c>
      <c r="B29" s="12">
        <v>42724</v>
      </c>
      <c r="C29" s="9">
        <v>8</v>
      </c>
      <c r="D29">
        <v>5</v>
      </c>
      <c r="E29" t="s">
        <v>78</v>
      </c>
      <c r="F29" t="s">
        <v>84</v>
      </c>
      <c r="G29">
        <v>2</v>
      </c>
      <c r="H29" t="s">
        <v>59</v>
      </c>
      <c r="I29" s="11">
        <v>7</v>
      </c>
      <c r="J29">
        <v>3</v>
      </c>
      <c r="K29" s="11">
        <v>21</v>
      </c>
      <c r="L29" s="18">
        <v>1</v>
      </c>
      <c r="M29" s="11" t="s">
        <v>115</v>
      </c>
      <c r="N29" t="s">
        <v>105</v>
      </c>
      <c r="O29" s="2">
        <v>12</v>
      </c>
      <c r="P29" s="2">
        <v>2016</v>
      </c>
    </row>
    <row r="30" spans="1:16" x14ac:dyDescent="0.25">
      <c r="A30">
        <v>29</v>
      </c>
      <c r="B30" s="12">
        <v>42724</v>
      </c>
      <c r="C30" s="9">
        <v>2</v>
      </c>
      <c r="D30">
        <v>8</v>
      </c>
      <c r="E30" t="s">
        <v>53</v>
      </c>
      <c r="F30" t="s">
        <v>31</v>
      </c>
      <c r="G30">
        <v>3</v>
      </c>
      <c r="H30" t="s">
        <v>55</v>
      </c>
      <c r="I30" s="11">
        <v>6</v>
      </c>
      <c r="J30">
        <v>3</v>
      </c>
      <c r="K30" s="11">
        <v>18</v>
      </c>
      <c r="L30" s="18">
        <v>1</v>
      </c>
      <c r="M30" s="11" t="s">
        <v>116</v>
      </c>
      <c r="N30" t="s">
        <v>105</v>
      </c>
      <c r="O30" s="2">
        <v>12</v>
      </c>
      <c r="P30" s="2">
        <v>2016</v>
      </c>
    </row>
    <row r="31" spans="1:16" x14ac:dyDescent="0.25">
      <c r="A31">
        <v>30</v>
      </c>
      <c r="B31" s="12">
        <v>42724</v>
      </c>
      <c r="C31" s="9">
        <v>1</v>
      </c>
      <c r="D31">
        <v>3</v>
      </c>
      <c r="E31" t="s">
        <v>67</v>
      </c>
      <c r="F31" t="s">
        <v>62</v>
      </c>
      <c r="G31">
        <v>6</v>
      </c>
      <c r="H31" t="s">
        <v>109</v>
      </c>
      <c r="I31" s="11">
        <v>3.5</v>
      </c>
      <c r="J31">
        <v>3</v>
      </c>
      <c r="K31" s="11">
        <v>10.5</v>
      </c>
      <c r="L31" s="18">
        <v>12</v>
      </c>
      <c r="M31" s="11" t="s">
        <v>45</v>
      </c>
      <c r="N31" t="s">
        <v>105</v>
      </c>
      <c r="O31" s="2">
        <v>12</v>
      </c>
      <c r="P31" s="2">
        <v>2016</v>
      </c>
    </row>
    <row r="32" spans="1:16" x14ac:dyDescent="0.25">
      <c r="A32">
        <v>31</v>
      </c>
      <c r="B32" s="12">
        <v>42724</v>
      </c>
      <c r="C32" s="9">
        <v>1</v>
      </c>
      <c r="D32">
        <v>31</v>
      </c>
      <c r="E32" t="s">
        <v>96</v>
      </c>
      <c r="F32" t="s">
        <v>33</v>
      </c>
      <c r="G32">
        <v>5</v>
      </c>
      <c r="H32" t="s">
        <v>61</v>
      </c>
      <c r="I32" s="11">
        <v>40</v>
      </c>
      <c r="J32">
        <v>1</v>
      </c>
      <c r="K32" s="11">
        <v>40</v>
      </c>
      <c r="L32" s="18">
        <v>1</v>
      </c>
      <c r="M32" s="11" t="s">
        <v>117</v>
      </c>
      <c r="N32" t="s">
        <v>105</v>
      </c>
      <c r="O32" s="2">
        <v>12</v>
      </c>
      <c r="P32" s="2">
        <v>2016</v>
      </c>
    </row>
    <row r="33" spans="1:16" x14ac:dyDescent="0.25">
      <c r="A33">
        <v>32</v>
      </c>
      <c r="B33" s="12">
        <v>42724</v>
      </c>
      <c r="C33" s="9">
        <v>7</v>
      </c>
      <c r="D33">
        <v>5</v>
      </c>
      <c r="E33" t="s">
        <v>69</v>
      </c>
      <c r="F33" t="s">
        <v>31</v>
      </c>
      <c r="G33">
        <v>5</v>
      </c>
      <c r="H33" t="s">
        <v>61</v>
      </c>
      <c r="I33" s="11">
        <v>4</v>
      </c>
      <c r="J33">
        <v>2</v>
      </c>
      <c r="K33" s="11">
        <v>8</v>
      </c>
      <c r="L33" s="18">
        <v>7</v>
      </c>
      <c r="M33" s="11" t="s">
        <v>118</v>
      </c>
      <c r="N33" t="s">
        <v>105</v>
      </c>
      <c r="O33" s="2">
        <v>12</v>
      </c>
      <c r="P33" s="2">
        <v>2016</v>
      </c>
    </row>
    <row r="34" spans="1:16" x14ac:dyDescent="0.25">
      <c r="A34">
        <v>33</v>
      </c>
      <c r="B34" s="12">
        <v>42724</v>
      </c>
      <c r="C34" s="9">
        <v>6</v>
      </c>
      <c r="D34">
        <v>2</v>
      </c>
      <c r="E34" t="s">
        <v>66</v>
      </c>
      <c r="F34" t="s">
        <v>62</v>
      </c>
      <c r="G34">
        <v>3</v>
      </c>
      <c r="H34" t="s">
        <v>55</v>
      </c>
      <c r="I34" s="11">
        <v>3.5</v>
      </c>
      <c r="J34">
        <v>1</v>
      </c>
      <c r="K34" s="11">
        <v>3.5</v>
      </c>
      <c r="L34" s="18">
        <v>5</v>
      </c>
      <c r="M34" s="11" t="s">
        <v>124</v>
      </c>
      <c r="N34" t="s">
        <v>105</v>
      </c>
      <c r="O34" s="2">
        <v>12</v>
      </c>
      <c r="P34" s="2">
        <v>2016</v>
      </c>
    </row>
    <row r="35" spans="1:16" x14ac:dyDescent="0.25">
      <c r="A35">
        <v>34</v>
      </c>
      <c r="B35" s="12">
        <v>42724</v>
      </c>
      <c r="C35" s="9">
        <v>7</v>
      </c>
      <c r="D35">
        <v>3</v>
      </c>
      <c r="E35" t="s">
        <v>67</v>
      </c>
      <c r="F35" t="s">
        <v>62</v>
      </c>
      <c r="G35">
        <v>3</v>
      </c>
      <c r="H35" t="s">
        <v>55</v>
      </c>
      <c r="I35" s="11">
        <v>3.5</v>
      </c>
      <c r="J35">
        <v>3</v>
      </c>
      <c r="K35" s="11">
        <v>10.5</v>
      </c>
      <c r="L35" s="18">
        <v>7</v>
      </c>
      <c r="M35" s="11" t="s">
        <v>118</v>
      </c>
      <c r="N35" t="s">
        <v>105</v>
      </c>
      <c r="O35" s="2">
        <v>12</v>
      </c>
      <c r="P35" s="2">
        <v>2016</v>
      </c>
    </row>
    <row r="36" spans="1:16" x14ac:dyDescent="0.25">
      <c r="A36">
        <v>35</v>
      </c>
      <c r="B36" s="12">
        <v>42724</v>
      </c>
      <c r="C36" s="9">
        <v>7</v>
      </c>
      <c r="D36">
        <v>4</v>
      </c>
      <c r="E36" t="s">
        <v>78</v>
      </c>
      <c r="F36" t="s">
        <v>84</v>
      </c>
      <c r="G36">
        <v>2</v>
      </c>
      <c r="H36" t="s">
        <v>59</v>
      </c>
      <c r="I36" s="11">
        <v>7</v>
      </c>
      <c r="J36">
        <v>1</v>
      </c>
      <c r="K36" s="11">
        <v>7</v>
      </c>
      <c r="L36" s="18">
        <v>7</v>
      </c>
      <c r="M36" s="11" t="s">
        <v>118</v>
      </c>
      <c r="N36" t="s">
        <v>105</v>
      </c>
      <c r="O36" s="2">
        <v>12</v>
      </c>
      <c r="P36" s="2">
        <v>2016</v>
      </c>
    </row>
    <row r="37" spans="1:16" x14ac:dyDescent="0.25">
      <c r="A37">
        <v>36</v>
      </c>
      <c r="B37" s="12">
        <v>42724</v>
      </c>
      <c r="C37" s="9">
        <v>8</v>
      </c>
      <c r="D37">
        <v>3</v>
      </c>
      <c r="E37" t="s">
        <v>67</v>
      </c>
      <c r="F37" t="s">
        <v>62</v>
      </c>
      <c r="G37">
        <v>2</v>
      </c>
      <c r="H37" t="s">
        <v>59</v>
      </c>
      <c r="I37" s="11">
        <v>3.5</v>
      </c>
      <c r="J37">
        <v>1</v>
      </c>
      <c r="K37" s="11">
        <v>3.5</v>
      </c>
      <c r="L37" s="18">
        <v>1</v>
      </c>
      <c r="M37" s="11" t="s">
        <v>115</v>
      </c>
      <c r="N37" t="s">
        <v>105</v>
      </c>
      <c r="O37" s="2">
        <v>12</v>
      </c>
      <c r="P37" s="2">
        <v>2016</v>
      </c>
    </row>
    <row r="38" spans="1:16" x14ac:dyDescent="0.25">
      <c r="A38">
        <v>37</v>
      </c>
      <c r="B38" s="12">
        <v>42724</v>
      </c>
      <c r="C38" s="9">
        <v>1</v>
      </c>
      <c r="D38">
        <v>4</v>
      </c>
      <c r="E38" t="s">
        <v>78</v>
      </c>
      <c r="F38" t="s">
        <v>84</v>
      </c>
      <c r="G38">
        <v>6</v>
      </c>
      <c r="H38" t="s">
        <v>109</v>
      </c>
      <c r="I38" s="11">
        <v>7</v>
      </c>
      <c r="J38">
        <v>1</v>
      </c>
      <c r="K38" s="11">
        <v>7</v>
      </c>
      <c r="L38" s="18">
        <v>1</v>
      </c>
      <c r="M38" s="11" t="s">
        <v>117</v>
      </c>
      <c r="N38" t="s">
        <v>105</v>
      </c>
      <c r="O38" s="2">
        <v>12</v>
      </c>
      <c r="P38" s="2">
        <v>2016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P10"/>
  <sheetViews>
    <sheetView workbookViewId="0">
      <selection activeCell="M2" sqref="M2"/>
    </sheetView>
  </sheetViews>
  <sheetFormatPr defaultRowHeight="15" x14ac:dyDescent="0.25"/>
  <cols>
    <col min="1" max="1" width="13.7109375" style="18" customWidth="1"/>
    <col min="2" max="2" width="12" style="20" customWidth="1"/>
    <col min="3" max="3" width="12.28515625" style="21" customWidth="1"/>
    <col min="4" max="4" width="18.28515625" style="23" customWidth="1"/>
    <col min="6" max="6" width="23.7109375" customWidth="1"/>
    <col min="7" max="7" width="6.140625" style="22" bestFit="1" customWidth="1"/>
    <col min="8" max="8" width="27.5703125" style="25" bestFit="1" customWidth="1"/>
    <col min="9" max="9" width="16.140625" customWidth="1"/>
    <col min="10" max="10" width="19.85546875" customWidth="1"/>
    <col min="11" max="11" width="20.28515625" customWidth="1"/>
    <col min="12" max="12" width="14.7109375" customWidth="1"/>
    <col min="13" max="13" width="17.140625" customWidth="1"/>
  </cols>
  <sheetData>
    <row r="1" spans="1:16" x14ac:dyDescent="0.25">
      <c r="A1" s="18" t="s">
        <v>20</v>
      </c>
      <c r="B1" s="20" t="s">
        <v>102</v>
      </c>
      <c r="C1" s="21" t="s">
        <v>17</v>
      </c>
      <c r="D1" s="23" t="s">
        <v>106</v>
      </c>
      <c r="E1" s="21" t="s">
        <v>25</v>
      </c>
      <c r="F1" t="s">
        <v>107</v>
      </c>
      <c r="G1" s="22" t="s">
        <v>108</v>
      </c>
      <c r="H1" s="25" t="s">
        <v>110</v>
      </c>
      <c r="I1" t="s">
        <v>119</v>
      </c>
      <c r="J1" t="s">
        <v>120</v>
      </c>
      <c r="K1" t="s">
        <v>122</v>
      </c>
      <c r="L1" t="s">
        <v>121</v>
      </c>
      <c r="M1" t="s">
        <v>123</v>
      </c>
    </row>
    <row r="2" spans="1:16" x14ac:dyDescent="0.25">
      <c r="A2" s="18">
        <v>1</v>
      </c>
      <c r="B2" s="20">
        <v>3</v>
      </c>
      <c r="C2" s="21" t="s">
        <v>36</v>
      </c>
      <c r="D2" s="23">
        <f>SUMIFS(FLUXOVENDA!K:K,FLUXOVENDA!C:C,CODVENDA!A2,FLUXOVENDA!N:N,CODVENDA!$P$2)</f>
        <v>187.5</v>
      </c>
      <c r="E2" t="s">
        <v>105</v>
      </c>
      <c r="F2" t="s">
        <v>59</v>
      </c>
      <c r="G2" s="22">
        <v>8.6435185185185184E-2</v>
      </c>
      <c r="H2" s="25">
        <v>0.63572916666666668</v>
      </c>
      <c r="P2" s="24" t="s">
        <v>105</v>
      </c>
    </row>
    <row r="3" spans="1:16" x14ac:dyDescent="0.25">
      <c r="A3" s="18">
        <v>2</v>
      </c>
      <c r="B3" s="20">
        <v>11</v>
      </c>
      <c r="C3" s="21" t="s">
        <v>44</v>
      </c>
      <c r="D3" s="23">
        <f>SUMIFS(FLUXOVENDA!K:K,FLUXOVENDA!C:C,CODVENDA!A3,FLUXOVENDA!N:N,CODVENDA!$P$2)</f>
        <v>56.5</v>
      </c>
      <c r="E3" t="s">
        <v>105</v>
      </c>
      <c r="F3" t="s">
        <v>60</v>
      </c>
      <c r="G3" s="22">
        <v>8.666666666666667E-2</v>
      </c>
      <c r="H3" s="25">
        <v>0.52800925925925923</v>
      </c>
      <c r="P3" s="24" t="s">
        <v>99</v>
      </c>
    </row>
    <row r="4" spans="1:16" x14ac:dyDescent="0.25">
      <c r="A4" s="18">
        <v>3</v>
      </c>
      <c r="B4" s="20">
        <v>4</v>
      </c>
      <c r="C4" s="21" t="s">
        <v>37</v>
      </c>
      <c r="D4" s="23">
        <f>SUMIFS(FLUXOVENDA!K:K,FLUXOVENDA!C:C,CODVENDA!A4,FLUXOVENDA!N:N,CODVENDA!$P$2)</f>
        <v>190</v>
      </c>
      <c r="E4" t="s">
        <v>105</v>
      </c>
      <c r="F4" t="s">
        <v>55</v>
      </c>
      <c r="G4" s="22">
        <v>8.895833333333332E-2</v>
      </c>
      <c r="H4" s="25">
        <v>0.52600694444444451</v>
      </c>
    </row>
    <row r="5" spans="1:16" x14ac:dyDescent="0.25">
      <c r="A5" s="18">
        <v>4</v>
      </c>
      <c r="B5" s="20">
        <v>8</v>
      </c>
      <c r="C5" s="21" t="s">
        <v>41</v>
      </c>
      <c r="D5" s="23">
        <f>SUMIFS(FLUXOVENDA!K:K,FLUXOVENDA!C:C,CODVENDA!A5,FLUXOVENDA!N:N,CODVENDA!$P$2)</f>
        <v>104.5</v>
      </c>
      <c r="E5" t="s">
        <v>105</v>
      </c>
      <c r="F5" t="s">
        <v>60</v>
      </c>
      <c r="G5" s="22">
        <v>9.0127314814814827E-2</v>
      </c>
      <c r="H5" s="25">
        <v>0.50126157407407412</v>
      </c>
    </row>
    <row r="6" spans="1:16" x14ac:dyDescent="0.25">
      <c r="A6" s="18">
        <v>5</v>
      </c>
      <c r="B6" s="20">
        <v>6</v>
      </c>
      <c r="C6" s="21" t="s">
        <v>39</v>
      </c>
      <c r="D6" s="23">
        <f>SUMIFS(FLUXOVENDA!K:K,FLUXOVENDA!C:C,CODVENDA!A6,FLUXOVENDA!N:N,CODVENDA!$P$2)</f>
        <v>83.5</v>
      </c>
      <c r="E6" t="s">
        <v>105</v>
      </c>
      <c r="F6" t="s">
        <v>59</v>
      </c>
      <c r="G6" s="22">
        <v>0.30875000000000002</v>
      </c>
      <c r="H6" s="25">
        <v>0.51513888888888892</v>
      </c>
    </row>
    <row r="7" spans="1:16" x14ac:dyDescent="0.25">
      <c r="A7" s="18">
        <v>6</v>
      </c>
      <c r="B7" s="20">
        <v>5</v>
      </c>
      <c r="C7" s="21" t="s">
        <v>38</v>
      </c>
      <c r="D7" s="23">
        <f>SUMIFS(FLUXOVENDA!K:K,FLUXOVENDA!C:C,CODVENDA!A7,FLUXOVENDA!N:N,CODVENDA!$P$2)</f>
        <v>19</v>
      </c>
      <c r="E7" t="s">
        <v>105</v>
      </c>
      <c r="F7" t="s">
        <v>55</v>
      </c>
      <c r="G7" s="22">
        <v>0.4380324074074074</v>
      </c>
      <c r="H7" s="25">
        <v>0.5958796296296297</v>
      </c>
    </row>
    <row r="8" spans="1:16" x14ac:dyDescent="0.25">
      <c r="A8" s="18">
        <v>7</v>
      </c>
      <c r="B8" s="20">
        <v>7</v>
      </c>
      <c r="C8" s="21" t="s">
        <v>40</v>
      </c>
      <c r="D8" s="23">
        <f>SUMIFS(FLUXOVENDA!K:K,FLUXOVENDA!C:C,CODVENDA!A8,FLUXOVENDA!N:N,CODVENDA!$P$2)</f>
        <v>36</v>
      </c>
      <c r="E8" t="s">
        <v>105</v>
      </c>
      <c r="F8" t="s">
        <v>59</v>
      </c>
      <c r="G8" s="22">
        <v>0.4457638888888889</v>
      </c>
      <c r="H8" s="25">
        <v>0.63429398148148153</v>
      </c>
    </row>
    <row r="9" spans="1:16" x14ac:dyDescent="0.25">
      <c r="A9" s="18">
        <v>8</v>
      </c>
      <c r="B9" s="20">
        <v>10</v>
      </c>
      <c r="C9" s="21" t="s">
        <v>43</v>
      </c>
      <c r="D9" s="23">
        <f>SUMIFS(FLUXOVENDA!K:K,FLUXOVENDA!C:C,CODVENDA!A9,FLUXOVENDA!N:N,CODVENDA!$P$2)</f>
        <v>29.5</v>
      </c>
      <c r="E9" t="s">
        <v>105</v>
      </c>
      <c r="F9" t="s">
        <v>55</v>
      </c>
      <c r="G9" s="22">
        <v>0.5272337962962963</v>
      </c>
      <c r="H9" s="25">
        <v>0.63534722222222217</v>
      </c>
    </row>
    <row r="10" spans="1:16" x14ac:dyDescent="0.25">
      <c r="A10" s="18">
        <v>1</v>
      </c>
      <c r="B10" s="20">
        <v>12</v>
      </c>
      <c r="C10" s="21" t="s">
        <v>45</v>
      </c>
      <c r="D10" s="23">
        <f>SUMIFS(FLUXOVENDA!K:K,FLUXOVENDA!C:C,CODVENDA!A10,FLUXOVENDA!N:N,CODVENDA!$P$2)</f>
        <v>187.5</v>
      </c>
      <c r="E10" t="s">
        <v>105</v>
      </c>
      <c r="F10" t="s">
        <v>109</v>
      </c>
      <c r="G10" s="22">
        <v>0.54812499999999997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FUNCIONARIO</vt:lpstr>
      <vt:lpstr>FLUXOFUNCIONARIOS</vt:lpstr>
      <vt:lpstr>MESAS</vt:lpstr>
      <vt:lpstr>PRODUTOS</vt:lpstr>
      <vt:lpstr>CONFIG</vt:lpstr>
      <vt:lpstr>FLUXOVENDA</vt:lpstr>
      <vt:lpstr>CODVENDA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Wssj</cp:lastModifiedBy>
  <dcterms:created xsi:type="dcterms:W3CDTF">2016-12-17T16:08:30Z</dcterms:created>
  <dcterms:modified xsi:type="dcterms:W3CDTF">2016-12-20T17:19:34Z</dcterms:modified>
</cp:coreProperties>
</file>