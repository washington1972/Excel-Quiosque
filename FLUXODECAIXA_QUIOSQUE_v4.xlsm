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426" codeName="{0EBEE25D-5E30-3CCF-7B8A-937B5088EA05}"/>
  <workbookPr codeName="EstaPastaDeTrabalho" defaultThemeVersion="164011"/>
  <mc:AlternateContent xmlns:mc="http://schemas.openxmlformats.org/markup-compatibility/2006">
    <mc:Choice Requires="x15">
      <x15ac:absPath xmlns:x15ac="http://schemas.microsoft.com/office/spreadsheetml/2010/11/ac" url="D:\Empresa de Gestão\Quiosque 63B Barra da Tijuca\"/>
    </mc:Choice>
  </mc:AlternateContent>
  <bookViews>
    <workbookView xWindow="0" yWindow="0" windowWidth="20490" windowHeight="7530" firstSheet="2" activeTab="7"/>
  </bookViews>
  <sheets>
    <sheet name="FUNCIONARIO" sheetId="1" r:id="rId1"/>
    <sheet name="FLUXOFUNCIONARIOS" sheetId="5" r:id="rId2"/>
    <sheet name="MESAS" sheetId="2" r:id="rId3"/>
    <sheet name="PRODUTOS" sheetId="3" r:id="rId4"/>
    <sheet name="CONFIG" sheetId="6" r:id="rId5"/>
    <sheet name="FLUXOVENDA" sheetId="4" r:id="rId6"/>
    <sheet name="CODVENDA" sheetId="7" r:id="rId7"/>
    <sheet name="RESUMO" sheetId="8" r:id="rId8"/>
  </sheets>
  <functionGroups builtInGroupCount="18"/>
  <definedNames>
    <definedName name="_xlnm._FilterDatabase" localSheetId="5" hidden="1">FLUXOVENDA!$B$1:$P$2</definedName>
    <definedName name="GRUPOPRODUTOS">CONFIG!$B$2:$B$13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12" i="7" l="1"/>
  <c r="D12" i="7"/>
  <c r="P3" i="7" l="1"/>
  <c r="P4" i="7"/>
  <c r="P5" i="7"/>
  <c r="P6" i="7"/>
  <c r="P7" i="7"/>
  <c r="P8" i="7"/>
  <c r="P9" i="7"/>
  <c r="P10" i="7"/>
  <c r="P11" i="7"/>
  <c r="P2" i="7"/>
  <c r="D11" i="7"/>
  <c r="D10" i="7" l="1"/>
  <c r="D9" i="7"/>
  <c r="D8" i="7"/>
  <c r="D7" i="7" l="1"/>
  <c r="D6" i="7"/>
  <c r="D5" i="7"/>
  <c r="D4" i="7"/>
  <c r="D3" i="7"/>
  <c r="D2" i="7"/>
  <c r="B14" i="8" l="1"/>
  <c r="B15" i="8"/>
  <c r="B16" i="8"/>
  <c r="B17" i="8"/>
  <c r="B18" i="8"/>
  <c r="B3" i="8" l="1"/>
  <c r="B1" i="8"/>
  <c r="C14" i="8" l="1"/>
  <c r="C15" i="8"/>
  <c r="C17" i="8"/>
  <c r="C16" i="8"/>
  <c r="C18" i="8"/>
  <c r="C10" i="8"/>
  <c r="C11" i="8"/>
  <c r="C3" i="8"/>
  <c r="C9" i="8"/>
  <c r="C7" i="8"/>
  <c r="C8" i="8"/>
  <c r="C1" i="8"/>
  <c r="C6" i="8"/>
  <c r="C2" i="8"/>
  <c r="C5" i="8"/>
  <c r="C4" i="8"/>
  <c r="B4" i="8"/>
</calcChain>
</file>

<file path=xl/sharedStrings.xml><?xml version="1.0" encoding="utf-8"?>
<sst xmlns="http://schemas.openxmlformats.org/spreadsheetml/2006/main" count="382" uniqueCount="136">
  <si>
    <t>COD</t>
  </si>
  <si>
    <t>NOME</t>
  </si>
  <si>
    <t>TELEFONE</t>
  </si>
  <si>
    <t>ENDEREÇO</t>
  </si>
  <si>
    <t>BAIRRO</t>
  </si>
  <si>
    <t>CIDADE</t>
  </si>
  <si>
    <t>CEP</t>
  </si>
  <si>
    <t>CODFUNCIONARIO</t>
  </si>
  <si>
    <t>NOME FUNCIONARIO</t>
  </si>
  <si>
    <t/>
  </si>
  <si>
    <t>DATA TRABALHO</t>
  </si>
  <si>
    <t>21 33590282</t>
  </si>
  <si>
    <t>R.DO TADEU, 33</t>
  </si>
  <si>
    <t>RJ</t>
  </si>
  <si>
    <t>PIEDADE</t>
  </si>
  <si>
    <t>R. SEM FIM, S/N</t>
  </si>
  <si>
    <t>CAMPO GRANDE</t>
  </si>
  <si>
    <t>MESA</t>
  </si>
  <si>
    <t>CODPRODUTO</t>
  </si>
  <si>
    <t>PRODUTO</t>
  </si>
  <si>
    <t>CODVENDA</t>
  </si>
  <si>
    <t>VENDEDOR</t>
  </si>
  <si>
    <t>DATAVENDA</t>
  </si>
  <si>
    <t>VALOR UNIT</t>
  </si>
  <si>
    <t>QUANTIDADE</t>
  </si>
  <si>
    <t>STATUS</t>
  </si>
  <si>
    <t>GRUPO</t>
  </si>
  <si>
    <t>CODGRUPO</t>
  </si>
  <si>
    <t>SANDUICHES</t>
  </si>
  <si>
    <t>BISCOITOS</t>
  </si>
  <si>
    <t>BEBIDAS ENERGÉTICAS</t>
  </si>
  <si>
    <t>BEBIDAS NATURAIS</t>
  </si>
  <si>
    <t>PEIXE FRITO</t>
  </si>
  <si>
    <t>PORÇÕES</t>
  </si>
  <si>
    <t>1 MESA</t>
  </si>
  <si>
    <t>2 MESA</t>
  </si>
  <si>
    <t>3 MESA</t>
  </si>
  <si>
    <t>4 MESA</t>
  </si>
  <si>
    <t>5 MESA</t>
  </si>
  <si>
    <t>6 MESA</t>
  </si>
  <si>
    <t>7 MESA</t>
  </si>
  <si>
    <t>8 MESA</t>
  </si>
  <si>
    <t>9 MESA</t>
  </si>
  <si>
    <t>10 MESA</t>
  </si>
  <si>
    <t>11 MESA</t>
  </si>
  <si>
    <t>12 MESA</t>
  </si>
  <si>
    <t>13 MESA</t>
  </si>
  <si>
    <t>14 MESA</t>
  </si>
  <si>
    <t>15 MESA</t>
  </si>
  <si>
    <t>16 MESA</t>
  </si>
  <si>
    <t>17 MESA</t>
  </si>
  <si>
    <t>18 MESA</t>
  </si>
  <si>
    <t>PRECO  VENDA</t>
  </si>
  <si>
    <t>AGUA DE COCO</t>
  </si>
  <si>
    <t>VALOR TOTAL</t>
  </si>
  <si>
    <t>WELLINGTON SOUZA</t>
  </si>
  <si>
    <t>PRATOS COMBINADOS</t>
  </si>
  <si>
    <t>DESCRIÇÃO</t>
  </si>
  <si>
    <t>DENIS BARRETO</t>
  </si>
  <si>
    <t>DAIANE BARRETO</t>
  </si>
  <si>
    <t>WAGNER GOMES</t>
  </si>
  <si>
    <t>CERVEJAS</t>
  </si>
  <si>
    <t>REFRIGERANTES</t>
  </si>
  <si>
    <t>BEBIDAS DESTILADAS</t>
  </si>
  <si>
    <t>SKOL</t>
  </si>
  <si>
    <t>BRHAMA</t>
  </si>
  <si>
    <t>ANTÁRTICA</t>
  </si>
  <si>
    <t>AGUA MINERAL S/GAS</t>
  </si>
  <si>
    <t>AGUA MINERAL C/GAS</t>
  </si>
  <si>
    <t>COCA COLA</t>
  </si>
  <si>
    <t>FANTA LARANJA</t>
  </si>
  <si>
    <t>FANTA UVA</t>
  </si>
  <si>
    <t>GUARANÁ ANTÁRTICA</t>
  </si>
  <si>
    <t>CAIPIRINHA</t>
  </si>
  <si>
    <t>AGUA TÔNICA</t>
  </si>
  <si>
    <t>CAIPVODKA</t>
  </si>
  <si>
    <t>CERVEJA LATÃO</t>
  </si>
  <si>
    <t>SUCO LATA</t>
  </si>
  <si>
    <t>GUARAVITA</t>
  </si>
  <si>
    <t>GUARAVITON</t>
  </si>
  <si>
    <t>MATE</t>
  </si>
  <si>
    <t>SMINORFF ICE</t>
  </si>
  <si>
    <t>SUCOS</t>
  </si>
  <si>
    <t>X-TUDO</t>
  </si>
  <si>
    <t>X-DOUBLE</t>
  </si>
  <si>
    <t>ANXOVA FAMÍLIA</t>
  </si>
  <si>
    <t>CORVINA FAMILIA</t>
  </si>
  <si>
    <t>CAMARÃO GRELHADO</t>
  </si>
  <si>
    <t>SARDINHA FRITA</t>
  </si>
  <si>
    <t>GURJÃO</t>
  </si>
  <si>
    <t>MANJUBINHA</t>
  </si>
  <si>
    <t>CALABRESA/FRITAS</t>
  </si>
  <si>
    <t>AIPIM</t>
  </si>
  <si>
    <t>BATATA FRITA</t>
  </si>
  <si>
    <t>FRANGO À PASSARINHO</t>
  </si>
  <si>
    <t>SALAMINHO</t>
  </si>
  <si>
    <t>BOLINHO DE BACALHAU</t>
  </si>
  <si>
    <t>FECHADA</t>
  </si>
  <si>
    <t>DISPONÍVEL</t>
  </si>
  <si>
    <t>CODVENDEDOR</t>
  </si>
  <si>
    <t>CODMESA</t>
  </si>
  <si>
    <t>MÊS</t>
  </si>
  <si>
    <t>ANO</t>
  </si>
  <si>
    <t>EM USO</t>
  </si>
  <si>
    <t xml:space="preserve">VALOR </t>
  </si>
  <si>
    <t>GARÇOM</t>
  </si>
  <si>
    <t>HORA</t>
  </si>
  <si>
    <t>CLIENTE</t>
  </si>
  <si>
    <t>HORA ÚLTIMO ATENDIMENTO</t>
  </si>
  <si>
    <t>FORMA PAGAMENTO</t>
  </si>
  <si>
    <t>PORCENTAGEM</t>
  </si>
  <si>
    <t>PAGA PORCENTAGEM</t>
  </si>
  <si>
    <t>VLR TOT PAGO</t>
  </si>
  <si>
    <t>DATA</t>
  </si>
  <si>
    <t>FATURAMENTO MÊS</t>
  </si>
  <si>
    <t>FATURAMENTO DIA (COM PERCENTAGEM)</t>
  </si>
  <si>
    <t>PERCENTUAL DIA</t>
  </si>
  <si>
    <t>PERCENTUAL MÊS</t>
  </si>
  <si>
    <t>DIA</t>
  </si>
  <si>
    <t>FATURAMENTO MÊS (COM PERCENTAGEM)</t>
  </si>
  <si>
    <t>DINHEIRO</t>
  </si>
  <si>
    <t>CARTÃO DE CRÉDITO</t>
  </si>
  <si>
    <t>PGT DINHEIRO DIA</t>
  </si>
  <si>
    <t>PGT CARTÃO DIA</t>
  </si>
  <si>
    <t>PGT DINHEIRO MÊS</t>
  </si>
  <si>
    <t>PGTO CARTÃO MÊS</t>
  </si>
  <si>
    <t>PGT DÉBITO DIA</t>
  </si>
  <si>
    <t>REDESHOP</t>
  </si>
  <si>
    <t>PRODUTIVIDADE DE FUNCIONÁRIOS</t>
  </si>
  <si>
    <t>MÊS ATUAL</t>
  </si>
  <si>
    <t>FINALIZADO</t>
  </si>
  <si>
    <t>NÃO</t>
  </si>
  <si>
    <t>SIM</t>
  </si>
  <si>
    <t xml:space="preserve"> 3 MESA </t>
  </si>
  <si>
    <t xml:space="preserve"> 4 MESA </t>
  </si>
  <si>
    <t>VLR SEM%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</si>
</sst>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_(&quot;R$&quot;* #,##0.00_);_(&quot;R$&quot;* \(#,##0.00\);_(&quot;R$&quot;* &quot;-&quot;??_);_(@_)"/>
    <numFmt numFmtId="165" formatCode="0_ ;\-0\ "/>
    <numFmt numFmtId="166" formatCode="h:mm;@"/>
    <numFmt numFmtId="167" formatCode="#,##0.00_ ;\-#,##0.00\ "/>
    <numFmt numFmtId="168" formatCode="dd/mm/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30">
    <xf numFmtId="0" fontId="0" fillId="0" borderId="0" xfId="0"/>
    <xf numFmtId="0" fontId="0" fillId="0" borderId="0" xfId="0" quotePrefix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0" fillId="2" borderId="1" xfId="0" applyFill="1" applyBorder="1"/>
    <xf numFmtId="1" fontId="0" fillId="0" borderId="0" xfId="0" applyNumberFormat="1"/>
    <xf numFmtId="4" fontId="1" fillId="0" borderId="0" xfId="0" applyNumberFormat="1" applyFont="1" applyAlignment="1">
      <alignment horizontal="center"/>
    </xf>
    <xf numFmtId="4" fontId="0" fillId="0" borderId="0" xfId="0" applyNumberFormat="1"/>
    <xf numFmtId="14" fontId="0" fillId="0" borderId="0" xfId="0" applyNumberFormat="1"/>
    <xf numFmtId="1" fontId="0" fillId="2" borderId="1" xfId="0" applyNumberFormat="1" applyFill="1" applyBorder="1"/>
    <xf numFmtId="4" fontId="0" fillId="2" borderId="1" xfId="0" applyNumberFormat="1" applyFill="1" applyBorder="1"/>
    <xf numFmtId="1" fontId="1" fillId="2" borderId="1" xfId="0" applyNumberFormat="1" applyFont="1" applyFill="1" applyBorder="1" applyAlignment="1">
      <alignment horizontal="center" vertical="center"/>
    </xf>
    <xf numFmtId="1" fontId="0" fillId="0" borderId="0" xfId="0" applyNumberFormat="1" applyAlignment="1">
      <alignment horizontal="left"/>
    </xf>
    <xf numFmtId="1" fontId="0" fillId="2" borderId="1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0" fillId="2" borderId="1" xfId="0" applyFill="1" applyBorder="1" applyAlignment="1">
      <alignment horizontal="center"/>
    </xf>
    <xf numFmtId="165" fontId="0" fillId="0" borderId="0" xfId="1" applyNumberFormat="1" applyFont="1" applyAlignment="1">
      <alignment horizontal="center"/>
    </xf>
    <xf numFmtId="164" fontId="0" fillId="0" borderId="0" xfId="1" applyFont="1" applyAlignment="1">
      <alignment horizontal="center"/>
    </xf>
    <xf numFmtId="166" fontId="0" fillId="0" borderId="0" xfId="0" applyNumberFormat="1" applyAlignment="1">
      <alignment horizontal="center"/>
    </xf>
    <xf numFmtId="167" fontId="0" fillId="0" borderId="0" xfId="1" applyNumberFormat="1" applyFont="1" applyAlignment="1">
      <alignment horizontal="center" vertical="center"/>
    </xf>
    <xf numFmtId="0" fontId="0" fillId="3" borderId="0" xfId="0" applyFill="1"/>
    <xf numFmtId="166" fontId="0" fillId="0" borderId="0" xfId="0" applyNumberFormat="1"/>
    <xf numFmtId="168" fontId="0" fillId="0" borderId="0" xfId="0" applyNumberFormat="1"/>
    <xf numFmtId="164" fontId="0" fillId="0" borderId="0" xfId="1" applyFont="1"/>
    <xf numFmtId="164" fontId="0" fillId="0" borderId="0" xfId="0" applyNumberFormat="1"/>
    <xf numFmtId="4" fontId="0" fillId="0" borderId="0" xfId="1" applyNumberFormat="1" applyFont="1"/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FORMA</a:t>
            </a:r>
            <a:r>
              <a:rPr lang="pt-BR" baseline="0"/>
              <a:t> DE PAGAMENTO NO MÊS</a:t>
            </a:r>
            <a:endParaRPr lang="pt-BR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36000" rIns="38100" bIns="19050" anchor="ctr" anchorCtr="0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RESUMO!$B$8:$B$11</c:f>
              <c:strCache>
                <c:ptCount val="4"/>
                <c:pt idx="0">
                  <c:v>REDESHOP</c:v>
                </c:pt>
                <c:pt idx="1">
                  <c:v>DINHEIRO</c:v>
                </c:pt>
                <c:pt idx="2">
                  <c:v>CARTÃO DE CRÉDITO</c:v>
                </c:pt>
                <c:pt idx="3">
                  <c:v>REDESHOP</c:v>
                </c:pt>
              </c:strCache>
            </c:strRef>
          </c:cat>
          <c:val>
            <c:numRef>
              <c:f>RESUMO!$C$8:$C$11</c:f>
              <c:numCache>
                <c:formatCode>_("R$"* #,##0.00_);_("R$"* \(#,##0.00\);_("R$"* "-"??_);_(@_)</c:formatCode>
                <c:ptCount val="4"/>
                <c:pt idx="0">
                  <c:v>7.7</c:v>
                </c:pt>
                <c:pt idx="1">
                  <c:v>128.35</c:v>
                </c:pt>
                <c:pt idx="2">
                  <c:v>51.7</c:v>
                </c:pt>
                <c:pt idx="3">
                  <c:v>27.5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4F-4EEE-889D-D2AFD4AF5B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cylinder"/>
        <c:axId val="286180608"/>
        <c:axId val="286178640"/>
        <c:axId val="0"/>
      </c:bar3DChart>
      <c:catAx>
        <c:axId val="286180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86178640"/>
        <c:crosses val="autoZero"/>
        <c:auto val="1"/>
        <c:lblAlgn val="ctr"/>
        <c:lblOffset val="100"/>
        <c:noMultiLvlLbl val="0"/>
      </c:catAx>
      <c:valAx>
        <c:axId val="286178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86180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FORMA DE PAGAMENTO DO DIA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643-4906-8B84-A414AD1DECE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643-4906-8B84-A414AD1DECE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643-4906-8B84-A414AD1DECE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RESUMO!$B$6:$B$8</c:f>
              <c:strCache>
                <c:ptCount val="3"/>
                <c:pt idx="0">
                  <c:v>DINHEIRO</c:v>
                </c:pt>
                <c:pt idx="1">
                  <c:v>CARTÃO DE CRÉDITO</c:v>
                </c:pt>
                <c:pt idx="2">
                  <c:v>REDESHOP</c:v>
                </c:pt>
              </c:strCache>
            </c:strRef>
          </c:cat>
          <c:val>
            <c:numRef>
              <c:f>RESUMO!$C$6:$C$8</c:f>
              <c:numCache>
                <c:formatCode>_("R$"* #,##0.00_);_("R$"* \(#,##0.00\);_("R$"* "-"??_);_(@_)</c:formatCode>
                <c:ptCount val="3"/>
                <c:pt idx="0">
                  <c:v>78.649999999999991</c:v>
                </c:pt>
                <c:pt idx="1">
                  <c:v>51.7</c:v>
                </c:pt>
                <c:pt idx="2">
                  <c:v>7.7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54-4CBB-9455-A69ED69270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VENDA</a:t>
            </a:r>
            <a:r>
              <a:rPr lang="pt-BR" baseline="0"/>
              <a:t> MÊ FUNCIONÁRIO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RESUMO!$B$14:$B$18</c:f>
              <c:strCache>
                <c:ptCount val="5"/>
                <c:pt idx="0">
                  <c:v>DENIS BARRETO</c:v>
                </c:pt>
                <c:pt idx="1">
                  <c:v>WELLINGTON SOUZA</c:v>
                </c:pt>
                <c:pt idx="2">
                  <c:v>DAIANE BARRETO</c:v>
                </c:pt>
                <c:pt idx="3">
                  <c:v>WAGNER GOMES</c:v>
                </c:pt>
                <c:pt idx="4">
                  <c:v>CLIENTE</c:v>
                </c:pt>
              </c:strCache>
            </c:strRef>
          </c:cat>
          <c:val>
            <c:numRef>
              <c:f>RESUMO!$C$14:$C$18</c:f>
              <c:numCache>
                <c:formatCode>_("R$"* #,##0.00_);_("R$"* \(#,##0.00\);_("R$"* "-"??_);_(@_)</c:formatCode>
                <c:ptCount val="5"/>
                <c:pt idx="0">
                  <c:v>3.5</c:v>
                </c:pt>
                <c:pt idx="1">
                  <c:v>48.5</c:v>
                </c:pt>
                <c:pt idx="2">
                  <c:v>95.5</c:v>
                </c:pt>
                <c:pt idx="3">
                  <c:v>37.5</c:v>
                </c:pt>
                <c:pt idx="4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9-4203-B1B8-7E639A1321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81091824"/>
        <c:axId val="294120504"/>
      </c:barChart>
      <c:catAx>
        <c:axId val="3810918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94120504"/>
        <c:crosses val="autoZero"/>
        <c:auto val="1"/>
        <c:lblAlgn val="ctr"/>
        <c:lblOffset val="100"/>
        <c:noMultiLvlLbl val="0"/>
      </c:catAx>
      <c:valAx>
        <c:axId val="294120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81091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19050</xdr:rowOff>
    </xdr:from>
    <xdr:to>
      <xdr:col>2</xdr:col>
      <xdr:colOff>695325</xdr:colOff>
      <xdr:row>24</xdr:row>
      <xdr:rowOff>95250</xdr:rowOff>
    </xdr:to>
    <xdr:graphicFrame macro="">
      <xdr:nvGraphicFramePr>
        <xdr:cNvPr id="5" name="Gráfico 3">
          <a:extLst>
            <a:ext uri="{FF2B5EF4-FFF2-40B4-BE49-F238E27FC236}">
              <a16:creationId xmlns:a16="http://schemas.microsoft.com/office/drawing/2014/main" id="{27BF510B-3AA5-4F11-848D-7DE97329FD8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66675</xdr:colOff>
      <xdr:row>1</xdr:row>
      <xdr:rowOff>133350</xdr:rowOff>
    </xdr:from>
    <xdr:to>
      <xdr:col>10</xdr:col>
      <xdr:colOff>371475</xdr:colOff>
      <xdr:row>16</xdr:row>
      <xdr:rowOff>19050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82550EF-4B51-4C07-85E9-61796691D6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266700</xdr:colOff>
      <xdr:row>1</xdr:row>
      <xdr:rowOff>180975</xdr:rowOff>
    </xdr:from>
    <xdr:to>
      <xdr:col>15</xdr:col>
      <xdr:colOff>571500</xdr:colOff>
      <xdr:row>16</xdr:row>
      <xdr:rowOff>66675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772B97B-FC75-4E0B-923D-65B61BCA94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G7"/>
  <sheetViews>
    <sheetView workbookViewId="0">
      <selection activeCell="B10" sqref="B10"/>
    </sheetView>
  </sheetViews>
  <sheetFormatPr defaultRowHeight="15" x14ac:dyDescent="0.25"/>
  <cols>
    <col min="1" max="1" width="4.85546875" style="16" bestFit="1" customWidth="1"/>
    <col min="2" max="2" width="22.42578125" bestFit="1" customWidth="1"/>
    <col min="3" max="3" width="12.7109375" customWidth="1"/>
    <col min="4" max="4" width="14.85546875" bestFit="1" customWidth="1"/>
    <col min="5" max="5" width="23.28515625" customWidth="1"/>
    <col min="6" max="6" width="7.5703125" style="6" bestFit="1" customWidth="1"/>
    <col min="7" max="7" width="11.5703125" style="6" customWidth="1"/>
  </cols>
  <sheetData>
    <row r="1" spans="1:7" x14ac:dyDescent="0.25">
      <c r="A1" s="15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5" t="s">
        <v>5</v>
      </c>
      <c r="G1" s="5" t="s">
        <v>6</v>
      </c>
    </row>
    <row r="2" spans="1:7" x14ac:dyDescent="0.25">
      <c r="A2" s="16">
        <v>1</v>
      </c>
      <c r="B2" t="s">
        <v>58</v>
      </c>
      <c r="C2" t="s">
        <v>11</v>
      </c>
      <c r="D2" t="s">
        <v>12</v>
      </c>
      <c r="E2" t="s">
        <v>14</v>
      </c>
      <c r="F2" s="6" t="s">
        <v>13</v>
      </c>
      <c r="G2" s="6">
        <v>21555410</v>
      </c>
    </row>
    <row r="3" spans="1:7" x14ac:dyDescent="0.25">
      <c r="A3" s="16">
        <v>2</v>
      </c>
      <c r="B3" t="s">
        <v>55</v>
      </c>
      <c r="C3">
        <v>21995021</v>
      </c>
      <c r="D3" t="s">
        <v>15</v>
      </c>
      <c r="E3" t="s">
        <v>16</v>
      </c>
      <c r="F3" s="6" t="s">
        <v>13</v>
      </c>
      <c r="G3" s="6">
        <v>5214010</v>
      </c>
    </row>
    <row r="4" spans="1:7" x14ac:dyDescent="0.25">
      <c r="A4" s="16">
        <v>3</v>
      </c>
      <c r="B4" t="s">
        <v>59</v>
      </c>
    </row>
    <row r="5" spans="1:7" x14ac:dyDescent="0.25">
      <c r="A5" s="16">
        <v>4</v>
      </c>
      <c r="B5" t="s">
        <v>60</v>
      </c>
    </row>
    <row r="6" spans="1:7" x14ac:dyDescent="0.25">
      <c r="A6" s="16">
        <v>5</v>
      </c>
      <c r="B6" t="s">
        <v>107</v>
      </c>
    </row>
    <row r="7" spans="1:7" x14ac:dyDescent="0.25">
      <c r="A7" s="16">
        <v>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D15"/>
  <sheetViews>
    <sheetView workbookViewId="0">
      <selection activeCell="C15" sqref="C15"/>
    </sheetView>
  </sheetViews>
  <sheetFormatPr defaultRowHeight="15" x14ac:dyDescent="0.25"/>
  <cols>
    <col min="1" max="1" width="17.85546875" bestFit="1" customWidth="1"/>
    <col min="2" max="2" width="20" bestFit="1" customWidth="1"/>
    <col min="3" max="3" width="15.85546875" customWidth="1"/>
  </cols>
  <sheetData>
    <row r="1" spans="1:4" x14ac:dyDescent="0.25">
      <c r="A1" s="8" t="s">
        <v>7</v>
      </c>
      <c r="B1" s="8" t="s">
        <v>8</v>
      </c>
      <c r="C1" s="8" t="s">
        <v>10</v>
      </c>
    </row>
    <row r="15" spans="1:4" x14ac:dyDescent="0.25">
      <c r="D15" s="1" t="s">
        <v>9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F19"/>
  <sheetViews>
    <sheetView workbookViewId="0">
      <selection activeCell="I21" sqref="I21"/>
    </sheetView>
  </sheetViews>
  <sheetFormatPr defaultRowHeight="15" x14ac:dyDescent="0.25"/>
  <cols>
    <col min="1" max="1" width="9.140625" style="2"/>
    <col min="3" max="3" width="11.5703125" bestFit="1" customWidth="1"/>
  </cols>
  <sheetData>
    <row r="1" spans="1:6" x14ac:dyDescent="0.25">
      <c r="A1" s="7" t="s">
        <v>0</v>
      </c>
      <c r="B1" s="7" t="s">
        <v>17</v>
      </c>
      <c r="C1" s="7" t="s">
        <v>25</v>
      </c>
    </row>
    <row r="2" spans="1:6" x14ac:dyDescent="0.25">
      <c r="A2" s="2">
        <v>1</v>
      </c>
      <c r="B2" t="s">
        <v>34</v>
      </c>
      <c r="C2" t="s">
        <v>98</v>
      </c>
      <c r="F2" s="2"/>
    </row>
    <row r="3" spans="1:6" x14ac:dyDescent="0.25">
      <c r="A3" s="2">
        <v>2</v>
      </c>
      <c r="B3" t="s">
        <v>35</v>
      </c>
      <c r="C3" t="s">
        <v>98</v>
      </c>
    </row>
    <row r="4" spans="1:6" x14ac:dyDescent="0.25">
      <c r="A4" s="2">
        <v>3</v>
      </c>
      <c r="B4" t="s">
        <v>36</v>
      </c>
      <c r="C4" t="s">
        <v>98</v>
      </c>
    </row>
    <row r="5" spans="1:6" x14ac:dyDescent="0.25">
      <c r="A5" s="2">
        <v>4</v>
      </c>
      <c r="B5" t="s">
        <v>37</v>
      </c>
      <c r="C5" t="s">
        <v>98</v>
      </c>
    </row>
    <row r="6" spans="1:6" x14ac:dyDescent="0.25">
      <c r="A6" s="2">
        <v>5</v>
      </c>
      <c r="B6" t="s">
        <v>38</v>
      </c>
      <c r="C6" t="s">
        <v>98</v>
      </c>
    </row>
    <row r="7" spans="1:6" x14ac:dyDescent="0.25">
      <c r="A7" s="2">
        <v>6</v>
      </c>
      <c r="B7" t="s">
        <v>39</v>
      </c>
      <c r="C7" t="s">
        <v>98</v>
      </c>
    </row>
    <row r="8" spans="1:6" x14ac:dyDescent="0.25">
      <c r="A8" s="2">
        <v>7</v>
      </c>
      <c r="B8" t="s">
        <v>40</v>
      </c>
      <c r="C8" t="s">
        <v>98</v>
      </c>
    </row>
    <row r="9" spans="1:6" x14ac:dyDescent="0.25">
      <c r="A9" s="2">
        <v>8</v>
      </c>
      <c r="B9" t="s">
        <v>41</v>
      </c>
      <c r="C9" t="s">
        <v>98</v>
      </c>
    </row>
    <row r="10" spans="1:6" x14ac:dyDescent="0.25">
      <c r="A10" s="2">
        <v>9</v>
      </c>
      <c r="B10" t="s">
        <v>42</v>
      </c>
      <c r="C10" t="s">
        <v>98</v>
      </c>
    </row>
    <row r="11" spans="1:6" x14ac:dyDescent="0.25">
      <c r="A11" s="2">
        <v>10</v>
      </c>
      <c r="B11" t="s">
        <v>43</v>
      </c>
      <c r="C11" t="s">
        <v>98</v>
      </c>
    </row>
    <row r="12" spans="1:6" x14ac:dyDescent="0.25">
      <c r="A12" s="2">
        <v>11</v>
      </c>
      <c r="B12" t="s">
        <v>44</v>
      </c>
      <c r="C12" t="s">
        <v>98</v>
      </c>
    </row>
    <row r="13" spans="1:6" x14ac:dyDescent="0.25">
      <c r="A13" s="2">
        <v>12</v>
      </c>
      <c r="B13" t="s">
        <v>45</v>
      </c>
      <c r="C13" t="s">
        <v>98</v>
      </c>
    </row>
    <row r="14" spans="1:6" x14ac:dyDescent="0.25">
      <c r="A14" s="2">
        <v>13</v>
      </c>
      <c r="B14" t="s">
        <v>46</v>
      </c>
      <c r="C14" t="s">
        <v>98</v>
      </c>
    </row>
    <row r="15" spans="1:6" x14ac:dyDescent="0.25">
      <c r="A15" s="2">
        <v>14</v>
      </c>
      <c r="B15" t="s">
        <v>47</v>
      </c>
      <c r="C15" t="s">
        <v>98</v>
      </c>
    </row>
    <row r="16" spans="1:6" x14ac:dyDescent="0.25">
      <c r="A16" s="2">
        <v>15</v>
      </c>
      <c r="B16" t="s">
        <v>48</v>
      </c>
      <c r="C16" t="s">
        <v>98</v>
      </c>
    </row>
    <row r="17" spans="1:3" x14ac:dyDescent="0.25">
      <c r="A17" s="2">
        <v>16</v>
      </c>
      <c r="B17" t="s">
        <v>49</v>
      </c>
      <c r="C17" t="s">
        <v>98</v>
      </c>
    </row>
    <row r="18" spans="1:3" x14ac:dyDescent="0.25">
      <c r="A18" s="2">
        <v>17</v>
      </c>
      <c r="B18" t="s">
        <v>50</v>
      </c>
      <c r="C18" t="s">
        <v>98</v>
      </c>
    </row>
    <row r="19" spans="1:3" x14ac:dyDescent="0.25">
      <c r="A19" s="2">
        <v>18</v>
      </c>
      <c r="B19" t="s">
        <v>51</v>
      </c>
      <c r="C19" t="s">
        <v>98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E34"/>
  <sheetViews>
    <sheetView topLeftCell="A10" workbookViewId="0">
      <selection activeCell="E19" sqref="E19"/>
    </sheetView>
  </sheetViews>
  <sheetFormatPr defaultRowHeight="15" x14ac:dyDescent="0.25"/>
  <cols>
    <col min="1" max="1" width="13.7109375" bestFit="1" customWidth="1"/>
    <col min="2" max="2" width="23" customWidth="1"/>
    <col min="3" max="3" width="23.140625" bestFit="1" customWidth="1"/>
    <col min="4" max="4" width="14.140625" style="11" bestFit="1" customWidth="1"/>
    <col min="5" max="5" width="46.28515625" customWidth="1"/>
  </cols>
  <sheetData>
    <row r="1" spans="1:5" x14ac:dyDescent="0.25">
      <c r="A1" s="3" t="s">
        <v>18</v>
      </c>
      <c r="B1" s="3" t="s">
        <v>19</v>
      </c>
      <c r="C1" s="3" t="s">
        <v>26</v>
      </c>
      <c r="D1" s="10" t="s">
        <v>52</v>
      </c>
      <c r="E1" s="3" t="s">
        <v>57</v>
      </c>
    </row>
    <row r="2" spans="1:5" x14ac:dyDescent="0.25">
      <c r="A2">
        <v>1</v>
      </c>
      <c r="B2" t="s">
        <v>64</v>
      </c>
      <c r="C2" t="s">
        <v>61</v>
      </c>
      <c r="D2" s="11">
        <v>3.5</v>
      </c>
    </row>
    <row r="3" spans="1:5" x14ac:dyDescent="0.25">
      <c r="A3">
        <v>2</v>
      </c>
      <c r="B3" t="s">
        <v>65</v>
      </c>
      <c r="C3" t="s">
        <v>61</v>
      </c>
      <c r="D3" s="11">
        <v>3.5</v>
      </c>
    </row>
    <row r="4" spans="1:5" x14ac:dyDescent="0.25">
      <c r="A4">
        <v>3</v>
      </c>
      <c r="B4" t="s">
        <v>66</v>
      </c>
      <c r="C4" t="s">
        <v>61</v>
      </c>
      <c r="D4" s="11">
        <v>3.5</v>
      </c>
    </row>
    <row r="5" spans="1:5" x14ac:dyDescent="0.25">
      <c r="A5">
        <v>4</v>
      </c>
      <c r="B5" t="s">
        <v>76</v>
      </c>
      <c r="C5" t="s">
        <v>82</v>
      </c>
      <c r="D5" s="11">
        <v>7</v>
      </c>
    </row>
    <row r="6" spans="1:5" x14ac:dyDescent="0.25">
      <c r="A6">
        <v>5</v>
      </c>
      <c r="B6" t="s">
        <v>67</v>
      </c>
      <c r="C6" t="s">
        <v>31</v>
      </c>
      <c r="D6" s="11">
        <v>4</v>
      </c>
    </row>
    <row r="7" spans="1:5" x14ac:dyDescent="0.25">
      <c r="A7">
        <v>6</v>
      </c>
      <c r="B7" t="s">
        <v>68</v>
      </c>
      <c r="C7" t="s">
        <v>31</v>
      </c>
      <c r="D7" s="11">
        <v>5</v>
      </c>
    </row>
    <row r="8" spans="1:5" x14ac:dyDescent="0.25">
      <c r="A8">
        <v>7</v>
      </c>
      <c r="B8" t="s">
        <v>53</v>
      </c>
      <c r="C8" t="s">
        <v>31</v>
      </c>
      <c r="D8" s="11">
        <v>6</v>
      </c>
    </row>
    <row r="9" spans="1:5" x14ac:dyDescent="0.25">
      <c r="A9">
        <v>8</v>
      </c>
      <c r="B9" t="s">
        <v>74</v>
      </c>
      <c r="C9" t="s">
        <v>62</v>
      </c>
      <c r="D9" s="11">
        <v>5</v>
      </c>
    </row>
    <row r="10" spans="1:5" x14ac:dyDescent="0.25">
      <c r="A10">
        <v>9</v>
      </c>
      <c r="B10" t="s">
        <v>77</v>
      </c>
      <c r="C10" t="s">
        <v>82</v>
      </c>
      <c r="D10" s="11">
        <v>6</v>
      </c>
    </row>
    <row r="11" spans="1:5" x14ac:dyDescent="0.25">
      <c r="A11">
        <v>10</v>
      </c>
      <c r="B11" t="s">
        <v>69</v>
      </c>
      <c r="C11" t="s">
        <v>62</v>
      </c>
      <c r="D11" s="11">
        <v>5</v>
      </c>
    </row>
    <row r="12" spans="1:5" x14ac:dyDescent="0.25">
      <c r="A12">
        <v>11</v>
      </c>
      <c r="B12" t="s">
        <v>70</v>
      </c>
      <c r="C12" t="s">
        <v>62</v>
      </c>
      <c r="D12" s="11">
        <v>5</v>
      </c>
    </row>
    <row r="13" spans="1:5" x14ac:dyDescent="0.25">
      <c r="A13">
        <v>12</v>
      </c>
      <c r="B13" t="s">
        <v>71</v>
      </c>
      <c r="C13" t="s">
        <v>62</v>
      </c>
      <c r="D13" s="11">
        <v>5</v>
      </c>
    </row>
    <row r="14" spans="1:5" x14ac:dyDescent="0.25">
      <c r="A14">
        <v>13</v>
      </c>
      <c r="B14" t="s">
        <v>72</v>
      </c>
      <c r="C14" t="s">
        <v>62</v>
      </c>
      <c r="D14" s="11">
        <v>5</v>
      </c>
    </row>
    <row r="15" spans="1:5" x14ac:dyDescent="0.25">
      <c r="A15">
        <v>14</v>
      </c>
      <c r="B15" t="s">
        <v>78</v>
      </c>
      <c r="C15" t="s">
        <v>31</v>
      </c>
      <c r="D15" s="11">
        <v>3</v>
      </c>
    </row>
    <row r="16" spans="1:5" x14ac:dyDescent="0.25">
      <c r="A16">
        <v>15</v>
      </c>
      <c r="B16" t="s">
        <v>79</v>
      </c>
      <c r="C16" t="s">
        <v>31</v>
      </c>
      <c r="D16" s="11">
        <v>5</v>
      </c>
    </row>
    <row r="17" spans="1:4" x14ac:dyDescent="0.25">
      <c r="A17">
        <v>16</v>
      </c>
      <c r="B17" t="s">
        <v>80</v>
      </c>
      <c r="C17" t="s">
        <v>31</v>
      </c>
      <c r="D17" s="11">
        <v>3.5</v>
      </c>
    </row>
    <row r="18" spans="1:4" x14ac:dyDescent="0.25">
      <c r="A18">
        <v>17</v>
      </c>
      <c r="B18" t="s">
        <v>73</v>
      </c>
      <c r="C18" t="s">
        <v>63</v>
      </c>
      <c r="D18" s="11">
        <v>15</v>
      </c>
    </row>
    <row r="19" spans="1:4" x14ac:dyDescent="0.25">
      <c r="A19">
        <v>18</v>
      </c>
      <c r="B19" t="s">
        <v>75</v>
      </c>
      <c r="C19" t="s">
        <v>63</v>
      </c>
      <c r="D19" s="11">
        <v>15</v>
      </c>
    </row>
    <row r="20" spans="1:4" x14ac:dyDescent="0.25">
      <c r="A20">
        <v>19</v>
      </c>
      <c r="B20" t="s">
        <v>81</v>
      </c>
      <c r="C20" t="s">
        <v>63</v>
      </c>
      <c r="D20" s="11">
        <v>10</v>
      </c>
    </row>
    <row r="21" spans="1:4" x14ac:dyDescent="0.25">
      <c r="A21">
        <v>20</v>
      </c>
      <c r="B21" t="s">
        <v>83</v>
      </c>
      <c r="C21" t="s">
        <v>28</v>
      </c>
      <c r="D21" s="11">
        <v>15</v>
      </c>
    </row>
    <row r="22" spans="1:4" x14ac:dyDescent="0.25">
      <c r="A22">
        <v>21</v>
      </c>
      <c r="B22" t="s">
        <v>84</v>
      </c>
      <c r="C22" t="s">
        <v>28</v>
      </c>
      <c r="D22" s="11">
        <v>15</v>
      </c>
    </row>
    <row r="23" spans="1:4" x14ac:dyDescent="0.25">
      <c r="A23">
        <v>22</v>
      </c>
      <c r="B23" t="s">
        <v>85</v>
      </c>
      <c r="C23" t="s">
        <v>32</v>
      </c>
      <c r="D23" s="11">
        <v>80</v>
      </c>
    </row>
    <row r="24" spans="1:4" x14ac:dyDescent="0.25">
      <c r="A24">
        <v>23</v>
      </c>
      <c r="B24" t="s">
        <v>86</v>
      </c>
      <c r="C24" t="s">
        <v>32</v>
      </c>
      <c r="D24" s="11">
        <v>80</v>
      </c>
    </row>
    <row r="25" spans="1:4" x14ac:dyDescent="0.25">
      <c r="A25">
        <v>24</v>
      </c>
      <c r="B25" t="s">
        <v>87</v>
      </c>
      <c r="C25" t="s">
        <v>33</v>
      </c>
      <c r="D25" s="11">
        <v>60</v>
      </c>
    </row>
    <row r="26" spans="1:4" x14ac:dyDescent="0.25">
      <c r="A26">
        <v>25</v>
      </c>
      <c r="B26" t="s">
        <v>88</v>
      </c>
      <c r="C26" t="s">
        <v>33</v>
      </c>
      <c r="D26" s="11">
        <v>40</v>
      </c>
    </row>
    <row r="27" spans="1:4" x14ac:dyDescent="0.25">
      <c r="A27">
        <v>26</v>
      </c>
      <c r="B27" t="s">
        <v>89</v>
      </c>
      <c r="C27" t="s">
        <v>33</v>
      </c>
      <c r="D27" s="11">
        <v>40</v>
      </c>
    </row>
    <row r="28" spans="1:4" x14ac:dyDescent="0.25">
      <c r="A28">
        <v>27</v>
      </c>
      <c r="B28" t="s">
        <v>90</v>
      </c>
      <c r="C28" t="s">
        <v>33</v>
      </c>
      <c r="D28" s="11">
        <v>40</v>
      </c>
    </row>
    <row r="29" spans="1:4" x14ac:dyDescent="0.25">
      <c r="A29">
        <v>28</v>
      </c>
      <c r="B29" t="s">
        <v>91</v>
      </c>
      <c r="C29" t="s">
        <v>33</v>
      </c>
      <c r="D29" s="11">
        <v>50</v>
      </c>
    </row>
    <row r="30" spans="1:4" x14ac:dyDescent="0.25">
      <c r="A30">
        <v>29</v>
      </c>
      <c r="B30" t="s">
        <v>92</v>
      </c>
      <c r="C30" t="s">
        <v>33</v>
      </c>
      <c r="D30" s="11">
        <v>20</v>
      </c>
    </row>
    <row r="31" spans="1:4" x14ac:dyDescent="0.25">
      <c r="A31">
        <v>30</v>
      </c>
      <c r="B31" t="s">
        <v>93</v>
      </c>
      <c r="C31" t="s">
        <v>33</v>
      </c>
      <c r="D31" s="11">
        <v>20</v>
      </c>
    </row>
    <row r="32" spans="1:4" x14ac:dyDescent="0.25">
      <c r="A32">
        <v>31</v>
      </c>
      <c r="B32" t="s">
        <v>94</v>
      </c>
      <c r="C32" t="s">
        <v>33</v>
      </c>
      <c r="D32" s="11">
        <v>40</v>
      </c>
    </row>
    <row r="33" spans="1:4" x14ac:dyDescent="0.25">
      <c r="A33">
        <v>32</v>
      </c>
      <c r="B33" t="s">
        <v>95</v>
      </c>
      <c r="C33" t="s">
        <v>33</v>
      </c>
      <c r="D33" s="11">
        <v>20</v>
      </c>
    </row>
    <row r="34" spans="1:4" x14ac:dyDescent="0.25">
      <c r="A34">
        <v>33</v>
      </c>
      <c r="B34" t="s">
        <v>96</v>
      </c>
      <c r="C34" t="s">
        <v>33</v>
      </c>
      <c r="D34" s="11">
        <v>30</v>
      </c>
    </row>
  </sheetData>
  <dataValidations count="1">
    <dataValidation type="list" allowBlank="1" showInputMessage="1" showErrorMessage="1" sqref="C2:C1048576">
      <formula1>GRUPOPRODUTOS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:G12"/>
  <sheetViews>
    <sheetView workbookViewId="0">
      <selection activeCell="G3" sqref="G3"/>
    </sheetView>
  </sheetViews>
  <sheetFormatPr defaultRowHeight="15" x14ac:dyDescent="0.25"/>
  <cols>
    <col min="1" max="1" width="11.140625" bestFit="1" customWidth="1"/>
    <col min="2" max="2" width="22.42578125" bestFit="1" customWidth="1"/>
  </cols>
  <sheetData>
    <row r="1" spans="1:7" x14ac:dyDescent="0.25">
      <c r="A1" t="s">
        <v>27</v>
      </c>
      <c r="B1" t="s">
        <v>26</v>
      </c>
    </row>
    <row r="2" spans="1:7" x14ac:dyDescent="0.25">
      <c r="A2">
        <v>1</v>
      </c>
      <c r="B2" t="s">
        <v>32</v>
      </c>
      <c r="G2" s="24" t="s">
        <v>103</v>
      </c>
    </row>
    <row r="3" spans="1:7" x14ac:dyDescent="0.25">
      <c r="A3">
        <v>2</v>
      </c>
      <c r="B3" t="s">
        <v>28</v>
      </c>
      <c r="G3" s="24" t="s">
        <v>97</v>
      </c>
    </row>
    <row r="4" spans="1:7" x14ac:dyDescent="0.25">
      <c r="A4">
        <v>3</v>
      </c>
      <c r="B4" t="s">
        <v>29</v>
      </c>
    </row>
    <row r="5" spans="1:7" x14ac:dyDescent="0.25">
      <c r="A5">
        <v>4</v>
      </c>
      <c r="B5" t="s">
        <v>62</v>
      </c>
    </row>
    <row r="6" spans="1:7" x14ac:dyDescent="0.25">
      <c r="A6">
        <v>5</v>
      </c>
      <c r="B6" t="s">
        <v>63</v>
      </c>
    </row>
    <row r="7" spans="1:7" x14ac:dyDescent="0.25">
      <c r="A7">
        <v>6</v>
      </c>
      <c r="B7" t="s">
        <v>61</v>
      </c>
    </row>
    <row r="8" spans="1:7" x14ac:dyDescent="0.25">
      <c r="A8">
        <v>7</v>
      </c>
      <c r="B8" t="s">
        <v>30</v>
      </c>
    </row>
    <row r="9" spans="1:7" x14ac:dyDescent="0.25">
      <c r="A9">
        <v>8</v>
      </c>
      <c r="B9" t="s">
        <v>31</v>
      </c>
    </row>
    <row r="10" spans="1:7" x14ac:dyDescent="0.25">
      <c r="A10">
        <v>9</v>
      </c>
      <c r="B10" t="s">
        <v>33</v>
      </c>
    </row>
    <row r="11" spans="1:7" x14ac:dyDescent="0.25">
      <c r="A11">
        <v>10</v>
      </c>
      <c r="B11" t="s">
        <v>56</v>
      </c>
    </row>
    <row r="12" spans="1:7" x14ac:dyDescent="0.25">
      <c r="A12">
        <v>11</v>
      </c>
      <c r="B12" t="s">
        <v>82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:P26"/>
  <sheetViews>
    <sheetView topLeftCell="A16" zoomScale="90" zoomScaleNormal="90" workbookViewId="0">
      <selection activeCell="N25" sqref="N25"/>
    </sheetView>
  </sheetViews>
  <sheetFormatPr defaultRowHeight="15" x14ac:dyDescent="0.25"/>
  <cols>
    <col min="1" max="1" width="8.28515625" customWidth="1"/>
    <col min="2" max="2" width="13.7109375" customWidth="1"/>
    <col min="3" max="3" width="12.7109375" style="9" customWidth="1"/>
    <col min="4" max="4" width="13.7109375" bestFit="1" customWidth="1"/>
    <col min="5" max="5" width="20.7109375" bestFit="1" customWidth="1"/>
    <col min="6" max="6" width="18.140625" bestFit="1" customWidth="1"/>
    <col min="7" max="7" width="18.140625" customWidth="1"/>
    <col min="8" max="8" width="24.140625" customWidth="1"/>
    <col min="9" max="9" width="13.42578125" style="11" customWidth="1"/>
    <col min="10" max="10" width="14.7109375" customWidth="1"/>
    <col min="11" max="11" width="13.140625" style="11" bestFit="1" customWidth="1"/>
    <col min="12" max="12" width="9.85546875" style="18" bestFit="1" customWidth="1"/>
    <col min="13" max="13" width="8.42578125" style="11" bestFit="1" customWidth="1"/>
    <col min="14" max="14" width="10.42578125" customWidth="1"/>
    <col min="15" max="15" width="9.140625" style="18"/>
    <col min="16" max="16" width="9.140625" style="2"/>
  </cols>
  <sheetData>
    <row r="1" spans="1:16" x14ac:dyDescent="0.25">
      <c r="A1" s="8" t="s">
        <v>0</v>
      </c>
      <c r="B1" s="8" t="s">
        <v>22</v>
      </c>
      <c r="C1" s="13" t="s">
        <v>20</v>
      </c>
      <c r="D1" s="8" t="s">
        <v>18</v>
      </c>
      <c r="E1" s="8" t="s">
        <v>19</v>
      </c>
      <c r="F1" s="8" t="s">
        <v>26</v>
      </c>
      <c r="G1" s="8" t="s">
        <v>99</v>
      </c>
      <c r="H1" s="8" t="s">
        <v>21</v>
      </c>
      <c r="I1" s="14" t="s">
        <v>23</v>
      </c>
      <c r="J1" s="8" t="s">
        <v>24</v>
      </c>
      <c r="K1" s="14" t="s">
        <v>54</v>
      </c>
      <c r="L1" s="17" t="s">
        <v>100</v>
      </c>
      <c r="M1" s="14" t="s">
        <v>17</v>
      </c>
      <c r="N1" s="8" t="s">
        <v>25</v>
      </c>
      <c r="O1" s="17" t="s">
        <v>101</v>
      </c>
      <c r="P1" s="19" t="s">
        <v>102</v>
      </c>
    </row>
    <row r="2" spans="1:16" x14ac:dyDescent="0.25">
      <c r="A2">
        <v>1</v>
      </c>
      <c r="B2" s="12">
        <v>42722</v>
      </c>
      <c r="C2" s="9">
        <v>0</v>
      </c>
      <c r="D2">
        <v>0</v>
      </c>
      <c r="E2" t="s">
        <v>66</v>
      </c>
      <c r="F2" t="s">
        <v>61</v>
      </c>
      <c r="H2" t="s">
        <v>58</v>
      </c>
      <c r="I2" s="11">
        <v>0</v>
      </c>
      <c r="J2">
        <v>0</v>
      </c>
      <c r="K2" s="11">
        <v>0</v>
      </c>
      <c r="N2" t="s">
        <v>97</v>
      </c>
      <c r="O2" s="18">
        <v>0</v>
      </c>
    </row>
    <row r="3" spans="1:16" x14ac:dyDescent="0.25">
      <c r="A3">
        <v>2</v>
      </c>
      <c r="B3" s="12">
        <v>42724</v>
      </c>
      <c r="C3" s="9">
        <v>1</v>
      </c>
      <c r="D3">
        <v>4</v>
      </c>
      <c r="E3" t="s">
        <v>76</v>
      </c>
      <c r="F3" t="s">
        <v>82</v>
      </c>
      <c r="G3">
        <v>2</v>
      </c>
      <c r="H3" t="s">
        <v>55</v>
      </c>
      <c r="I3" s="11">
        <v>7</v>
      </c>
      <c r="J3">
        <v>1</v>
      </c>
      <c r="K3" s="11">
        <v>7</v>
      </c>
      <c r="L3" s="18">
        <v>1</v>
      </c>
      <c r="M3" s="11" t="s">
        <v>34</v>
      </c>
      <c r="N3" t="s">
        <v>97</v>
      </c>
      <c r="O3" s="18">
        <v>12</v>
      </c>
      <c r="P3" s="2">
        <v>2016</v>
      </c>
    </row>
    <row r="4" spans="1:16" x14ac:dyDescent="0.25">
      <c r="A4">
        <v>3</v>
      </c>
      <c r="B4" s="12">
        <v>42724</v>
      </c>
      <c r="C4" s="9">
        <v>1</v>
      </c>
      <c r="D4">
        <v>3</v>
      </c>
      <c r="E4" t="s">
        <v>66</v>
      </c>
      <c r="F4" t="s">
        <v>61</v>
      </c>
      <c r="G4">
        <v>2</v>
      </c>
      <c r="H4" t="s">
        <v>55</v>
      </c>
      <c r="I4" s="11">
        <v>3.5</v>
      </c>
      <c r="J4">
        <v>2</v>
      </c>
      <c r="K4" s="11">
        <v>7</v>
      </c>
      <c r="L4" s="18">
        <v>1</v>
      </c>
      <c r="M4" s="11" t="s">
        <v>34</v>
      </c>
      <c r="N4" t="s">
        <v>97</v>
      </c>
      <c r="O4" s="18">
        <v>12</v>
      </c>
      <c r="P4" s="2">
        <v>2016</v>
      </c>
    </row>
    <row r="5" spans="1:16" x14ac:dyDescent="0.25">
      <c r="A5">
        <v>4</v>
      </c>
      <c r="B5" s="12">
        <v>42724</v>
      </c>
      <c r="C5" s="9">
        <v>2</v>
      </c>
      <c r="D5">
        <v>3</v>
      </c>
      <c r="E5" t="s">
        <v>66</v>
      </c>
      <c r="F5" t="s">
        <v>61</v>
      </c>
      <c r="G5">
        <v>2</v>
      </c>
      <c r="H5" t="s">
        <v>55</v>
      </c>
      <c r="I5" s="11">
        <v>3.5</v>
      </c>
      <c r="J5">
        <v>3</v>
      </c>
      <c r="K5" s="11">
        <v>10.5</v>
      </c>
      <c r="L5" s="18">
        <v>4</v>
      </c>
      <c r="M5" s="11" t="s">
        <v>37</v>
      </c>
      <c r="N5" t="s">
        <v>97</v>
      </c>
      <c r="O5" s="18">
        <v>12</v>
      </c>
      <c r="P5" s="2">
        <v>2016</v>
      </c>
    </row>
    <row r="6" spans="1:16" x14ac:dyDescent="0.25">
      <c r="A6">
        <v>5</v>
      </c>
      <c r="B6" s="12">
        <v>42724</v>
      </c>
      <c r="C6" s="9">
        <v>3</v>
      </c>
      <c r="D6">
        <v>2</v>
      </c>
      <c r="E6" t="s">
        <v>65</v>
      </c>
      <c r="F6" t="s">
        <v>61</v>
      </c>
      <c r="G6">
        <v>3</v>
      </c>
      <c r="H6" t="s">
        <v>59</v>
      </c>
      <c r="I6" s="11">
        <v>3.5</v>
      </c>
      <c r="J6">
        <v>1</v>
      </c>
      <c r="K6" s="11">
        <v>3.5</v>
      </c>
      <c r="L6" s="18">
        <v>6</v>
      </c>
      <c r="M6" s="11" t="s">
        <v>39</v>
      </c>
      <c r="N6" t="s">
        <v>97</v>
      </c>
      <c r="O6" s="18">
        <v>12</v>
      </c>
      <c r="P6" s="2">
        <v>2016</v>
      </c>
    </row>
    <row r="7" spans="1:16" x14ac:dyDescent="0.25">
      <c r="A7">
        <v>6</v>
      </c>
      <c r="B7" s="12">
        <v>42724</v>
      </c>
      <c r="C7" s="9">
        <v>4</v>
      </c>
      <c r="D7">
        <v>2</v>
      </c>
      <c r="E7" t="s">
        <v>65</v>
      </c>
      <c r="F7" t="s">
        <v>61</v>
      </c>
      <c r="G7">
        <v>3</v>
      </c>
      <c r="H7" t="s">
        <v>59</v>
      </c>
      <c r="I7" s="11">
        <v>3.5</v>
      </c>
      <c r="J7">
        <v>1</v>
      </c>
      <c r="K7" s="11">
        <v>3.5</v>
      </c>
      <c r="L7" s="18">
        <v>7</v>
      </c>
      <c r="M7" s="11" t="s">
        <v>40</v>
      </c>
      <c r="N7" t="s">
        <v>97</v>
      </c>
      <c r="O7" s="18">
        <v>12</v>
      </c>
      <c r="P7" s="2">
        <v>2016</v>
      </c>
    </row>
    <row r="8" spans="1:16" x14ac:dyDescent="0.25">
      <c r="A8">
        <v>7</v>
      </c>
      <c r="B8" s="12">
        <v>42724</v>
      </c>
      <c r="C8" s="9">
        <v>5</v>
      </c>
      <c r="D8">
        <v>6</v>
      </c>
      <c r="E8" t="s">
        <v>68</v>
      </c>
      <c r="F8" t="s">
        <v>31</v>
      </c>
      <c r="G8">
        <v>2</v>
      </c>
      <c r="H8" t="s">
        <v>55</v>
      </c>
      <c r="I8" s="11">
        <v>5</v>
      </c>
      <c r="J8">
        <v>1</v>
      </c>
      <c r="K8" s="11">
        <v>5</v>
      </c>
      <c r="L8" s="18">
        <v>3</v>
      </c>
      <c r="M8" s="11" t="s">
        <v>36</v>
      </c>
      <c r="N8" t="s">
        <v>97</v>
      </c>
      <c r="O8" s="18">
        <v>12</v>
      </c>
      <c r="P8" s="2">
        <v>2016</v>
      </c>
    </row>
    <row r="9" spans="1:16" x14ac:dyDescent="0.25">
      <c r="A9">
        <v>8</v>
      </c>
      <c r="B9" s="12">
        <v>42724</v>
      </c>
      <c r="C9" s="9">
        <v>6</v>
      </c>
      <c r="D9">
        <v>5</v>
      </c>
      <c r="E9" t="s">
        <v>67</v>
      </c>
      <c r="F9" t="s">
        <v>31</v>
      </c>
      <c r="G9">
        <v>2</v>
      </c>
      <c r="H9" t="s">
        <v>55</v>
      </c>
      <c r="I9" s="11">
        <v>4</v>
      </c>
      <c r="J9">
        <v>3</v>
      </c>
      <c r="K9" s="11">
        <v>12</v>
      </c>
      <c r="L9" s="18">
        <v>3</v>
      </c>
      <c r="M9" s="11" t="s">
        <v>36</v>
      </c>
      <c r="N9" t="s">
        <v>97</v>
      </c>
      <c r="O9" s="18">
        <v>12</v>
      </c>
      <c r="P9" s="2">
        <v>2016</v>
      </c>
    </row>
    <row r="10" spans="1:16" x14ac:dyDescent="0.25">
      <c r="A10">
        <v>9</v>
      </c>
      <c r="B10" s="12">
        <v>42725</v>
      </c>
      <c r="C10" s="9">
        <v>7</v>
      </c>
      <c r="D10">
        <v>2</v>
      </c>
      <c r="E10" t="s">
        <v>65</v>
      </c>
      <c r="F10" t="s">
        <v>61</v>
      </c>
      <c r="G10">
        <v>3</v>
      </c>
      <c r="H10" t="s">
        <v>59</v>
      </c>
      <c r="I10" s="11">
        <v>3.5</v>
      </c>
      <c r="J10">
        <v>1</v>
      </c>
      <c r="K10" s="11">
        <v>3.5</v>
      </c>
      <c r="L10" s="18">
        <v>3</v>
      </c>
      <c r="M10" s="11" t="s">
        <v>36</v>
      </c>
      <c r="N10" t="s">
        <v>97</v>
      </c>
      <c r="O10" s="18">
        <v>12</v>
      </c>
      <c r="P10" s="2">
        <v>2016</v>
      </c>
    </row>
    <row r="11" spans="1:16" x14ac:dyDescent="0.25">
      <c r="A11">
        <v>10</v>
      </c>
      <c r="B11" s="12">
        <v>42725</v>
      </c>
      <c r="C11" s="9">
        <v>7</v>
      </c>
      <c r="D11">
        <v>3</v>
      </c>
      <c r="E11" t="s">
        <v>66</v>
      </c>
      <c r="F11" t="s">
        <v>61</v>
      </c>
      <c r="G11">
        <v>3</v>
      </c>
      <c r="H11" t="s">
        <v>59</v>
      </c>
      <c r="I11" s="11">
        <v>3.5</v>
      </c>
      <c r="J11">
        <v>1</v>
      </c>
      <c r="K11" s="11">
        <v>3.5</v>
      </c>
      <c r="L11" s="18">
        <v>3</v>
      </c>
      <c r="M11" s="11" t="s">
        <v>36</v>
      </c>
      <c r="N11" t="s">
        <v>97</v>
      </c>
      <c r="O11" s="18">
        <v>12</v>
      </c>
      <c r="P11" s="2">
        <v>2016</v>
      </c>
    </row>
    <row r="12" spans="1:16" x14ac:dyDescent="0.25">
      <c r="A12">
        <v>11</v>
      </c>
      <c r="B12" s="12">
        <v>42725</v>
      </c>
      <c r="C12" s="9">
        <v>7</v>
      </c>
      <c r="D12">
        <v>5</v>
      </c>
      <c r="E12" t="s">
        <v>67</v>
      </c>
      <c r="F12" t="s">
        <v>31</v>
      </c>
      <c r="G12">
        <v>3</v>
      </c>
      <c r="H12" t="s">
        <v>59</v>
      </c>
      <c r="I12" s="11">
        <v>4</v>
      </c>
      <c r="J12">
        <v>1</v>
      </c>
      <c r="K12" s="11">
        <v>4</v>
      </c>
      <c r="L12" s="18">
        <v>3</v>
      </c>
      <c r="M12" s="11" t="s">
        <v>36</v>
      </c>
      <c r="N12" t="s">
        <v>97</v>
      </c>
      <c r="O12" s="18">
        <v>12</v>
      </c>
      <c r="P12" s="2">
        <v>2016</v>
      </c>
    </row>
    <row r="13" spans="1:16" x14ac:dyDescent="0.25">
      <c r="A13">
        <v>12</v>
      </c>
      <c r="B13" s="12">
        <v>42725</v>
      </c>
      <c r="C13" s="9">
        <v>7</v>
      </c>
      <c r="D13">
        <v>4</v>
      </c>
      <c r="E13" t="s">
        <v>76</v>
      </c>
      <c r="F13" t="s">
        <v>82</v>
      </c>
      <c r="G13">
        <v>3</v>
      </c>
      <c r="H13" t="s">
        <v>59</v>
      </c>
      <c r="I13" s="11">
        <v>7</v>
      </c>
      <c r="J13">
        <v>1</v>
      </c>
      <c r="K13" s="11">
        <v>7</v>
      </c>
      <c r="L13" s="18">
        <v>3</v>
      </c>
      <c r="M13" s="11" t="s">
        <v>133</v>
      </c>
      <c r="N13" t="s">
        <v>97</v>
      </c>
      <c r="O13" s="18">
        <v>12</v>
      </c>
      <c r="P13" s="2">
        <v>2016</v>
      </c>
    </row>
    <row r="14" spans="1:16" x14ac:dyDescent="0.25">
      <c r="A14">
        <v>13</v>
      </c>
      <c r="B14" s="12">
        <v>42725</v>
      </c>
      <c r="C14" s="9">
        <v>8</v>
      </c>
      <c r="D14">
        <v>21</v>
      </c>
      <c r="E14" t="s">
        <v>84</v>
      </c>
      <c r="F14" t="s">
        <v>28</v>
      </c>
      <c r="G14">
        <v>3</v>
      </c>
      <c r="H14" t="s">
        <v>59</v>
      </c>
      <c r="I14" s="11">
        <v>15</v>
      </c>
      <c r="J14">
        <v>1</v>
      </c>
      <c r="K14" s="11">
        <v>15</v>
      </c>
      <c r="L14" s="18">
        <v>3</v>
      </c>
      <c r="M14" s="11" t="s">
        <v>36</v>
      </c>
      <c r="N14" t="s">
        <v>97</v>
      </c>
      <c r="O14" s="18">
        <v>12</v>
      </c>
      <c r="P14" s="2">
        <v>2016</v>
      </c>
    </row>
    <row r="15" spans="1:16" x14ac:dyDescent="0.25">
      <c r="A15">
        <v>14</v>
      </c>
      <c r="B15" s="12">
        <v>42725</v>
      </c>
      <c r="C15" s="9">
        <v>8</v>
      </c>
      <c r="D15">
        <v>5</v>
      </c>
      <c r="E15" t="s">
        <v>67</v>
      </c>
      <c r="F15" t="s">
        <v>31</v>
      </c>
      <c r="G15">
        <v>3</v>
      </c>
      <c r="H15" t="s">
        <v>59</v>
      </c>
      <c r="I15" s="11">
        <v>4</v>
      </c>
      <c r="J15">
        <v>1</v>
      </c>
      <c r="K15" s="11">
        <v>4</v>
      </c>
      <c r="L15" s="18">
        <v>3</v>
      </c>
      <c r="M15" s="11" t="s">
        <v>36</v>
      </c>
      <c r="N15" t="s">
        <v>97</v>
      </c>
      <c r="O15" s="18">
        <v>12</v>
      </c>
      <c r="P15" s="2">
        <v>2016</v>
      </c>
    </row>
    <row r="16" spans="1:16" x14ac:dyDescent="0.25">
      <c r="A16">
        <v>15</v>
      </c>
      <c r="B16" s="12">
        <v>42725</v>
      </c>
      <c r="C16" s="9">
        <v>8</v>
      </c>
      <c r="D16">
        <v>4</v>
      </c>
      <c r="E16" t="s">
        <v>76</v>
      </c>
      <c r="F16" t="s">
        <v>82</v>
      </c>
      <c r="G16">
        <v>3</v>
      </c>
      <c r="H16" t="s">
        <v>59</v>
      </c>
      <c r="I16" s="11">
        <v>7</v>
      </c>
      <c r="J16">
        <v>3</v>
      </c>
      <c r="K16" s="11">
        <v>21</v>
      </c>
      <c r="L16" s="18">
        <v>3</v>
      </c>
      <c r="M16" s="11" t="s">
        <v>36</v>
      </c>
      <c r="N16" t="s">
        <v>97</v>
      </c>
      <c r="O16" s="18">
        <v>12</v>
      </c>
      <c r="P16" s="2">
        <v>2016</v>
      </c>
    </row>
    <row r="17" spans="1:16" x14ac:dyDescent="0.25">
      <c r="A17">
        <v>16</v>
      </c>
      <c r="B17" s="12">
        <v>42725</v>
      </c>
      <c r="C17" s="9">
        <v>8</v>
      </c>
      <c r="D17">
        <v>4</v>
      </c>
      <c r="E17" t="s">
        <v>76</v>
      </c>
      <c r="F17" t="s">
        <v>82</v>
      </c>
      <c r="G17">
        <v>3</v>
      </c>
      <c r="H17" t="s">
        <v>59</v>
      </c>
      <c r="I17" s="11">
        <v>7</v>
      </c>
      <c r="J17">
        <v>1</v>
      </c>
      <c r="K17" s="11">
        <v>7</v>
      </c>
      <c r="L17" s="18">
        <v>3</v>
      </c>
      <c r="M17" s="11" t="s">
        <v>133</v>
      </c>
      <c r="N17" t="s">
        <v>97</v>
      </c>
      <c r="O17" s="18">
        <v>12</v>
      </c>
      <c r="P17" s="2">
        <v>2016</v>
      </c>
    </row>
    <row r="18" spans="1:16" x14ac:dyDescent="0.25">
      <c r="A18">
        <v>17</v>
      </c>
      <c r="B18" s="12">
        <v>42725</v>
      </c>
      <c r="C18" s="9">
        <v>9</v>
      </c>
      <c r="D18">
        <v>4</v>
      </c>
      <c r="E18" t="s">
        <v>76</v>
      </c>
      <c r="F18" t="s">
        <v>82</v>
      </c>
      <c r="G18">
        <v>4</v>
      </c>
      <c r="H18" t="s">
        <v>60</v>
      </c>
      <c r="I18" s="11">
        <v>7</v>
      </c>
      <c r="J18">
        <v>1</v>
      </c>
      <c r="K18" s="11">
        <v>7</v>
      </c>
      <c r="L18" s="18">
        <v>4</v>
      </c>
      <c r="M18" s="11" t="s">
        <v>37</v>
      </c>
      <c r="N18" t="s">
        <v>97</v>
      </c>
      <c r="O18" s="18">
        <v>12</v>
      </c>
      <c r="P18" s="2">
        <v>2016</v>
      </c>
    </row>
    <row r="19" spans="1:16" x14ac:dyDescent="0.25">
      <c r="A19">
        <v>18</v>
      </c>
      <c r="B19" s="12">
        <v>42725</v>
      </c>
      <c r="C19" s="9">
        <v>9</v>
      </c>
      <c r="D19">
        <v>4</v>
      </c>
      <c r="E19" t="s">
        <v>76</v>
      </c>
      <c r="F19" t="s">
        <v>82</v>
      </c>
      <c r="G19">
        <v>5</v>
      </c>
      <c r="H19" t="s">
        <v>107</v>
      </c>
      <c r="I19" s="11">
        <v>7</v>
      </c>
      <c r="J19">
        <v>1</v>
      </c>
      <c r="K19" s="11">
        <v>7</v>
      </c>
      <c r="L19" s="18">
        <v>4</v>
      </c>
      <c r="M19" s="11" t="s">
        <v>134</v>
      </c>
      <c r="N19" t="s">
        <v>97</v>
      </c>
      <c r="O19" s="18">
        <v>12</v>
      </c>
      <c r="P19" s="2">
        <v>2016</v>
      </c>
    </row>
    <row r="20" spans="1:16" x14ac:dyDescent="0.25">
      <c r="A20">
        <v>19</v>
      </c>
      <c r="B20" s="12">
        <v>42725</v>
      </c>
      <c r="C20" s="9">
        <v>9</v>
      </c>
      <c r="D20">
        <v>3</v>
      </c>
      <c r="E20" t="s">
        <v>66</v>
      </c>
      <c r="F20" t="s">
        <v>61</v>
      </c>
      <c r="G20">
        <v>3</v>
      </c>
      <c r="H20" t="s">
        <v>59</v>
      </c>
      <c r="I20" s="11">
        <v>3.5</v>
      </c>
      <c r="J20">
        <v>1</v>
      </c>
      <c r="K20" s="11">
        <v>3.5</v>
      </c>
      <c r="L20" s="18">
        <v>4</v>
      </c>
      <c r="M20" s="11" t="s">
        <v>134</v>
      </c>
      <c r="N20" t="s">
        <v>97</v>
      </c>
      <c r="O20" s="18">
        <v>12</v>
      </c>
      <c r="P20" s="2">
        <v>2016</v>
      </c>
    </row>
    <row r="21" spans="1:16" x14ac:dyDescent="0.25">
      <c r="A21">
        <v>20</v>
      </c>
      <c r="B21" s="12">
        <v>42725</v>
      </c>
      <c r="C21" s="9">
        <v>9</v>
      </c>
      <c r="D21">
        <v>30</v>
      </c>
      <c r="E21" t="s">
        <v>93</v>
      </c>
      <c r="F21" t="s">
        <v>33</v>
      </c>
      <c r="G21">
        <v>3</v>
      </c>
      <c r="H21" t="s">
        <v>59</v>
      </c>
      <c r="I21" s="11">
        <v>20</v>
      </c>
      <c r="J21">
        <v>1</v>
      </c>
      <c r="K21" s="11">
        <v>20</v>
      </c>
      <c r="L21" s="18">
        <v>4</v>
      </c>
      <c r="M21" s="11" t="s">
        <v>134</v>
      </c>
      <c r="N21" t="s">
        <v>97</v>
      </c>
      <c r="O21" s="18">
        <v>12</v>
      </c>
      <c r="P21" s="2">
        <v>2016</v>
      </c>
    </row>
    <row r="22" spans="1:16" x14ac:dyDescent="0.25">
      <c r="A22">
        <v>21</v>
      </c>
      <c r="B22" s="12">
        <v>42726</v>
      </c>
      <c r="C22" s="9">
        <v>9</v>
      </c>
      <c r="D22">
        <v>1</v>
      </c>
      <c r="E22" t="s">
        <v>64</v>
      </c>
      <c r="F22" t="s">
        <v>61</v>
      </c>
      <c r="G22">
        <v>4</v>
      </c>
      <c r="H22" t="s">
        <v>60</v>
      </c>
      <c r="I22" s="11">
        <v>3.5</v>
      </c>
      <c r="J22">
        <v>1</v>
      </c>
      <c r="K22" s="11">
        <v>3.5</v>
      </c>
      <c r="L22" s="18">
        <v>4</v>
      </c>
      <c r="M22" s="11" t="s">
        <v>134</v>
      </c>
      <c r="N22" t="s">
        <v>97</v>
      </c>
      <c r="O22" s="18">
        <v>12</v>
      </c>
      <c r="P22" s="2">
        <v>2016</v>
      </c>
    </row>
    <row r="23" spans="1:16" x14ac:dyDescent="0.25">
      <c r="A23">
        <v>22</v>
      </c>
      <c r="B23" s="12">
        <v>42726</v>
      </c>
      <c r="C23" s="9">
        <v>9</v>
      </c>
      <c r="D23">
        <v>4</v>
      </c>
      <c r="E23" t="s">
        <v>76</v>
      </c>
      <c r="F23" t="s">
        <v>82</v>
      </c>
      <c r="G23">
        <v>4</v>
      </c>
      <c r="H23" t="s">
        <v>60</v>
      </c>
      <c r="I23" s="11">
        <v>7</v>
      </c>
      <c r="J23">
        <v>1</v>
      </c>
      <c r="K23" s="11">
        <v>7</v>
      </c>
      <c r="L23" s="18">
        <v>4</v>
      </c>
      <c r="M23" s="11" t="s">
        <v>134</v>
      </c>
      <c r="N23" t="s">
        <v>97</v>
      </c>
      <c r="O23" s="18">
        <v>12</v>
      </c>
      <c r="P23" s="2">
        <v>2016</v>
      </c>
    </row>
    <row r="24" spans="1:16" x14ac:dyDescent="0.25">
      <c r="A24">
        <v>23</v>
      </c>
      <c r="B24" s="12">
        <v>42726</v>
      </c>
      <c r="C24" s="9">
        <v>9</v>
      </c>
      <c r="D24">
        <v>30</v>
      </c>
      <c r="E24" t="s">
        <v>93</v>
      </c>
      <c r="F24" t="s">
        <v>33</v>
      </c>
      <c r="G24">
        <v>4</v>
      </c>
      <c r="H24" t="s">
        <v>60</v>
      </c>
      <c r="I24" s="11">
        <v>20</v>
      </c>
      <c r="J24">
        <v>1</v>
      </c>
      <c r="K24" s="11">
        <v>20</v>
      </c>
      <c r="L24" s="18">
        <v>4</v>
      </c>
      <c r="M24" s="11" t="s">
        <v>134</v>
      </c>
      <c r="N24" t="s">
        <v>97</v>
      </c>
      <c r="O24" s="18">
        <v>12</v>
      </c>
      <c r="P24" s="2">
        <v>2016</v>
      </c>
    </row>
    <row r="25" spans="1:16" x14ac:dyDescent="0.25">
      <c r="A25">
        <v>24</v>
      </c>
      <c r="B25" s="12">
        <v>42726</v>
      </c>
      <c r="C25" s="9">
        <v>10</v>
      </c>
      <c r="D25">
        <v>4</v>
      </c>
      <c r="E25" t="s">
        <v>76</v>
      </c>
      <c r="F25" t="s">
        <v>82</v>
      </c>
      <c r="G25">
        <v>2</v>
      </c>
      <c r="H25" t="s">
        <v>55</v>
      </c>
      <c r="I25" s="11">
        <v>7</v>
      </c>
      <c r="J25">
        <v>1</v>
      </c>
      <c r="K25" s="11">
        <v>7</v>
      </c>
      <c r="L25" s="18">
        <v>4</v>
      </c>
      <c r="M25" s="11" t="s">
        <v>37</v>
      </c>
      <c r="N25" t="s">
        <v>97</v>
      </c>
      <c r="O25" s="18">
        <v>12</v>
      </c>
      <c r="P25" s="2">
        <v>2016</v>
      </c>
    </row>
    <row r="26" spans="1:16" x14ac:dyDescent="0.25">
      <c r="A26">
        <v>25</v>
      </c>
      <c r="B26" s="12">
        <v>42726</v>
      </c>
      <c r="C26" s="9">
        <v>11</v>
      </c>
      <c r="D26">
        <v>3</v>
      </c>
      <c r="E26" t="s">
        <v>66</v>
      </c>
      <c r="F26" t="s">
        <v>61</v>
      </c>
      <c r="G26">
        <v>1</v>
      </c>
      <c r="H26" t="s">
        <v>58</v>
      </c>
      <c r="I26" s="11">
        <v>3.5</v>
      </c>
      <c r="J26">
        <v>1</v>
      </c>
      <c r="K26" s="11">
        <v>3.5</v>
      </c>
      <c r="L26" s="18">
        <v>1</v>
      </c>
      <c r="M26" s="11" t="s">
        <v>34</v>
      </c>
      <c r="N26" t="s">
        <v>97</v>
      </c>
      <c r="O26" s="18">
        <v>12</v>
      </c>
      <c r="P26" s="2">
        <v>2016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A1:P12"/>
  <sheetViews>
    <sheetView topLeftCell="F1" workbookViewId="0">
      <selection activeCell="A12" sqref="A12"/>
    </sheetView>
  </sheetViews>
  <sheetFormatPr defaultRowHeight="15" x14ac:dyDescent="0.25"/>
  <cols>
    <col min="1" max="1" width="13.7109375" style="18" customWidth="1"/>
    <col min="2" max="2" width="12" style="20" customWidth="1"/>
    <col min="3" max="3" width="12.28515625" style="21" customWidth="1"/>
    <col min="4" max="4" width="18.28515625" style="23" customWidth="1"/>
    <col min="5" max="5" width="11.7109375" bestFit="1" customWidth="1"/>
    <col min="6" max="6" width="23.7109375" customWidth="1"/>
    <col min="7" max="7" width="6.140625" style="22" bestFit="1" customWidth="1"/>
    <col min="8" max="8" width="27.5703125" style="25" bestFit="1" customWidth="1"/>
    <col min="9" max="9" width="20.28515625" bestFit="1" customWidth="1"/>
    <col min="10" max="10" width="19.85546875" style="11" customWidth="1"/>
    <col min="11" max="11" width="20.28515625" style="11" customWidth="1"/>
    <col min="12" max="12" width="19.85546875" customWidth="1"/>
    <col min="13" max="13" width="14.7109375" style="26" customWidth="1"/>
    <col min="14" max="14" width="17.140625" style="2" customWidth="1"/>
    <col min="15" max="15" width="9.140625" style="18"/>
    <col min="16" max="16" width="9.140625" style="29"/>
  </cols>
  <sheetData>
    <row r="1" spans="1:16" x14ac:dyDescent="0.25">
      <c r="A1" s="18" t="s">
        <v>20</v>
      </c>
      <c r="B1" s="20" t="s">
        <v>100</v>
      </c>
      <c r="C1" s="21" t="s">
        <v>17</v>
      </c>
      <c r="D1" s="23" t="s">
        <v>104</v>
      </c>
      <c r="E1" s="21" t="s">
        <v>25</v>
      </c>
      <c r="F1" t="s">
        <v>105</v>
      </c>
      <c r="G1" s="22" t="s">
        <v>106</v>
      </c>
      <c r="H1" s="25" t="s">
        <v>108</v>
      </c>
      <c r="I1" t="s">
        <v>111</v>
      </c>
      <c r="J1" s="11" t="s">
        <v>110</v>
      </c>
      <c r="K1" s="11" t="s">
        <v>112</v>
      </c>
      <c r="L1" t="s">
        <v>109</v>
      </c>
      <c r="M1" s="26" t="s">
        <v>113</v>
      </c>
      <c r="N1" s="2" t="s">
        <v>118</v>
      </c>
      <c r="O1" s="18" t="s">
        <v>101</v>
      </c>
      <c r="P1" s="29" t="s">
        <v>135</v>
      </c>
    </row>
    <row r="2" spans="1:16" x14ac:dyDescent="0.25">
      <c r="A2" s="18">
        <v>1</v>
      </c>
      <c r="B2" s="20">
        <v>1</v>
      </c>
      <c r="C2" s="21" t="s">
        <v>34</v>
      </c>
      <c r="D2" s="23">
        <f>SUMIFS(FLUXOVENDA!K:K,FLUXOVENDA!C:C,CODVENDA!A2,FLUXOVENDA!N:N,CONFIG!$G$2)</f>
        <v>0</v>
      </c>
      <c r="E2" t="s">
        <v>130</v>
      </c>
      <c r="F2" t="s">
        <v>55</v>
      </c>
      <c r="G2" s="22">
        <v>0.95638888888888884</v>
      </c>
      <c r="I2" t="s">
        <v>131</v>
      </c>
      <c r="J2" s="11">
        <v>0</v>
      </c>
      <c r="K2" s="11">
        <v>14</v>
      </c>
      <c r="L2" t="s">
        <v>120</v>
      </c>
      <c r="M2" s="26">
        <v>42724</v>
      </c>
      <c r="N2" s="2">
        <v>20</v>
      </c>
      <c r="O2" s="18">
        <v>12</v>
      </c>
      <c r="P2" s="29">
        <f>SUMIFS(FLUXOVENDA!K:K,FLUXOVENDA!C:C,CODVENDA!A2,FLUXOVENDA!N:N,CONFIG!$G$3)</f>
        <v>14</v>
      </c>
    </row>
    <row r="3" spans="1:16" x14ac:dyDescent="0.25">
      <c r="A3" s="18">
        <v>2</v>
      </c>
      <c r="B3" s="20">
        <v>4</v>
      </c>
      <c r="C3" s="21" t="s">
        <v>37</v>
      </c>
      <c r="D3" s="23">
        <f>SUMIFS(FLUXOVENDA!K:K,FLUXOVENDA!C:C,CODVENDA!A3,FLUXOVENDA!N:N,CONFIG!$G$2)</f>
        <v>0</v>
      </c>
      <c r="E3" t="s">
        <v>130</v>
      </c>
      <c r="F3" t="s">
        <v>55</v>
      </c>
      <c r="G3" s="22">
        <v>0.95668981481481474</v>
      </c>
      <c r="I3" t="s">
        <v>131</v>
      </c>
      <c r="J3" s="11">
        <v>0</v>
      </c>
      <c r="K3" s="11">
        <v>10.5</v>
      </c>
      <c r="L3" t="s">
        <v>120</v>
      </c>
      <c r="M3" s="26">
        <v>42724</v>
      </c>
      <c r="N3" s="2">
        <v>20</v>
      </c>
      <c r="O3" s="18">
        <v>12</v>
      </c>
      <c r="P3" s="29">
        <f>SUMIFS(FLUXOVENDA!K:K,FLUXOVENDA!C:C,CODVENDA!A3,FLUXOVENDA!N:N,CONFIG!$G$3)</f>
        <v>10.5</v>
      </c>
    </row>
    <row r="4" spans="1:16" x14ac:dyDescent="0.25">
      <c r="A4" s="18">
        <v>3</v>
      </c>
      <c r="B4" s="20">
        <v>6</v>
      </c>
      <c r="C4" s="21" t="s">
        <v>39</v>
      </c>
      <c r="D4" s="23">
        <f>SUMIFS(FLUXOVENDA!K:K,FLUXOVENDA!C:C,CODVENDA!A4,FLUXOVENDA!N:N,CONFIG!$G$2)</f>
        <v>0</v>
      </c>
      <c r="E4" t="s">
        <v>130</v>
      </c>
      <c r="F4" t="s">
        <v>59</v>
      </c>
      <c r="G4" s="22">
        <v>0.95681712962962961</v>
      </c>
      <c r="I4" t="s">
        <v>131</v>
      </c>
      <c r="J4" s="11">
        <v>0</v>
      </c>
      <c r="K4" s="11">
        <v>3.5</v>
      </c>
      <c r="L4" t="s">
        <v>120</v>
      </c>
      <c r="M4" s="26">
        <v>42724</v>
      </c>
      <c r="N4" s="2">
        <v>20</v>
      </c>
      <c r="O4" s="18">
        <v>12</v>
      </c>
      <c r="P4" s="29">
        <f>SUMIFS(FLUXOVENDA!K:K,FLUXOVENDA!C:C,CODVENDA!A4,FLUXOVENDA!N:N,CONFIG!$G$3)</f>
        <v>3.5</v>
      </c>
    </row>
    <row r="5" spans="1:16" x14ac:dyDescent="0.25">
      <c r="A5" s="18">
        <v>4</v>
      </c>
      <c r="B5" s="20">
        <v>7</v>
      </c>
      <c r="C5" s="21" t="s">
        <v>40</v>
      </c>
      <c r="D5" s="23">
        <f>SUMIFS(FLUXOVENDA!K:K,FLUXOVENDA!C:C,CODVENDA!A5,FLUXOVENDA!N:N,CONFIG!$G$2)</f>
        <v>0</v>
      </c>
      <c r="E5" t="s">
        <v>130</v>
      </c>
      <c r="F5" t="s">
        <v>59</v>
      </c>
      <c r="G5" s="22">
        <v>0.95695601851851853</v>
      </c>
      <c r="I5" t="s">
        <v>131</v>
      </c>
      <c r="J5" s="11">
        <v>0</v>
      </c>
      <c r="K5" s="11">
        <v>3.5</v>
      </c>
      <c r="L5" t="s">
        <v>120</v>
      </c>
      <c r="M5" s="26">
        <v>42724</v>
      </c>
      <c r="N5" s="2">
        <v>20</v>
      </c>
      <c r="O5" s="18">
        <v>12</v>
      </c>
      <c r="P5" s="29">
        <f>SUMIFS(FLUXOVENDA!K:K,FLUXOVENDA!C:C,CODVENDA!A5,FLUXOVENDA!N:N,CONFIG!$G$3)</f>
        <v>3.5</v>
      </c>
    </row>
    <row r="6" spans="1:16" x14ac:dyDescent="0.25">
      <c r="A6" s="18">
        <v>5</v>
      </c>
      <c r="B6" s="20">
        <v>3</v>
      </c>
      <c r="C6" s="21" t="s">
        <v>36</v>
      </c>
      <c r="D6" s="23">
        <f>SUMIFS(FLUXOVENDA!K:K,FLUXOVENDA!C:C,CODVENDA!A6,FLUXOVENDA!N:N,CONFIG!$G$2)</f>
        <v>0</v>
      </c>
      <c r="E6" t="s">
        <v>130</v>
      </c>
      <c r="F6" t="s">
        <v>55</v>
      </c>
      <c r="G6" s="22">
        <v>0.95765046296296286</v>
      </c>
      <c r="I6" t="s">
        <v>131</v>
      </c>
      <c r="J6" s="11">
        <v>0</v>
      </c>
      <c r="K6" s="11">
        <v>5</v>
      </c>
      <c r="L6" t="s">
        <v>120</v>
      </c>
      <c r="M6" s="26">
        <v>42724</v>
      </c>
      <c r="N6" s="2">
        <v>20</v>
      </c>
      <c r="O6" s="18">
        <v>12</v>
      </c>
      <c r="P6" s="29">
        <f>SUMIFS(FLUXOVENDA!K:K,FLUXOVENDA!C:C,CODVENDA!A6,FLUXOVENDA!N:N,CONFIG!$G$3)</f>
        <v>5</v>
      </c>
    </row>
    <row r="7" spans="1:16" x14ac:dyDescent="0.25">
      <c r="A7" s="18">
        <v>6</v>
      </c>
      <c r="B7" s="20">
        <v>3</v>
      </c>
      <c r="C7" s="21" t="s">
        <v>36</v>
      </c>
      <c r="D7" s="23">
        <f>SUMIFS(FLUXOVENDA!K:K,FLUXOVENDA!C:C,CODVENDA!A7,FLUXOVENDA!N:N,CONFIG!$G$2)</f>
        <v>0</v>
      </c>
      <c r="E7" t="s">
        <v>130</v>
      </c>
      <c r="F7" t="s">
        <v>55</v>
      </c>
      <c r="G7" s="22">
        <v>0.95785879629629633</v>
      </c>
      <c r="I7" t="s">
        <v>132</v>
      </c>
      <c r="J7" s="11">
        <v>1.2</v>
      </c>
      <c r="K7" s="11">
        <v>13.2</v>
      </c>
      <c r="L7" t="s">
        <v>120</v>
      </c>
      <c r="M7" s="26">
        <v>42724</v>
      </c>
      <c r="N7" s="2">
        <v>20</v>
      </c>
      <c r="O7" s="18">
        <v>12</v>
      </c>
      <c r="P7" s="29">
        <f>SUMIFS(FLUXOVENDA!K:K,FLUXOVENDA!C:C,CODVENDA!A7,FLUXOVENDA!N:N,CONFIG!$G$3)</f>
        <v>12</v>
      </c>
    </row>
    <row r="8" spans="1:16" x14ac:dyDescent="0.25">
      <c r="A8" s="18">
        <v>7</v>
      </c>
      <c r="B8" s="20">
        <v>3</v>
      </c>
      <c r="C8" s="21" t="s">
        <v>36</v>
      </c>
      <c r="D8" s="23">
        <f>SUMIFS(FLUXOVENDA!K:K,FLUXOVENDA!C:C,CODVENDA!A8,FLUXOVENDA!N:N,CONFIG!$G$2)</f>
        <v>0</v>
      </c>
      <c r="E8" t="s">
        <v>130</v>
      </c>
      <c r="F8" t="s">
        <v>59</v>
      </c>
      <c r="G8" s="22">
        <v>0.96995370370370371</v>
      </c>
      <c r="H8" s="25">
        <v>0.97026620370370376</v>
      </c>
      <c r="I8" t="s">
        <v>132</v>
      </c>
      <c r="J8" s="11">
        <v>1.8</v>
      </c>
      <c r="K8" s="11">
        <v>19.8</v>
      </c>
      <c r="L8" t="s">
        <v>127</v>
      </c>
      <c r="M8" s="26">
        <v>42725</v>
      </c>
      <c r="N8" s="2">
        <v>21</v>
      </c>
      <c r="O8" s="18">
        <v>12</v>
      </c>
      <c r="P8" s="29">
        <f>SUMIFS(FLUXOVENDA!K:K,FLUXOVENDA!C:C,CODVENDA!A8,FLUXOVENDA!N:N,CONFIG!$G$3)</f>
        <v>18</v>
      </c>
    </row>
    <row r="9" spans="1:16" x14ac:dyDescent="0.25">
      <c r="A9" s="18">
        <v>8</v>
      </c>
      <c r="B9" s="20">
        <v>3</v>
      </c>
      <c r="C9" s="21" t="s">
        <v>36</v>
      </c>
      <c r="D9" s="23">
        <f>SUMIFS(FLUXOVENDA!K:K,FLUXOVENDA!C:C,CODVENDA!A9,FLUXOVENDA!N:N,CONFIG!$G$2)</f>
        <v>0</v>
      </c>
      <c r="E9" t="s">
        <v>130</v>
      </c>
      <c r="F9" t="s">
        <v>59</v>
      </c>
      <c r="G9" s="22">
        <v>0.97111111111111104</v>
      </c>
      <c r="H9" s="25">
        <v>0.97128472222222229</v>
      </c>
      <c r="I9" t="s">
        <v>132</v>
      </c>
      <c r="J9" s="11">
        <v>4.7</v>
      </c>
      <c r="K9" s="11">
        <v>51.7</v>
      </c>
      <c r="L9" t="s">
        <v>121</v>
      </c>
      <c r="M9" s="26">
        <v>42726</v>
      </c>
      <c r="N9" s="2">
        <v>22</v>
      </c>
      <c r="O9" s="18">
        <v>12</v>
      </c>
      <c r="P9" s="29">
        <f>SUMIFS(FLUXOVENDA!K:K,FLUXOVENDA!C:C,CODVENDA!A9,FLUXOVENDA!N:N,CONFIG!$G$3)</f>
        <v>47</v>
      </c>
    </row>
    <row r="10" spans="1:16" x14ac:dyDescent="0.25">
      <c r="A10" s="18">
        <v>9</v>
      </c>
      <c r="B10" s="20">
        <v>4</v>
      </c>
      <c r="C10" s="21" t="s">
        <v>37</v>
      </c>
      <c r="D10" s="23">
        <f>SUMIFS(FLUXOVENDA!K:K,FLUXOVENDA!C:C,CODVENDA!A10,FLUXOVENDA!N:N,CONFIG!$G$2)</f>
        <v>0</v>
      </c>
      <c r="E10" t="s">
        <v>130</v>
      </c>
      <c r="F10" t="s">
        <v>60</v>
      </c>
      <c r="G10" s="22">
        <v>0.97166666666666668</v>
      </c>
      <c r="H10" s="25">
        <v>2.8819444444444444E-3</v>
      </c>
      <c r="I10" t="s">
        <v>132</v>
      </c>
      <c r="J10" s="11">
        <v>6.8</v>
      </c>
      <c r="K10" s="11">
        <v>74.8</v>
      </c>
      <c r="L10" t="s">
        <v>120</v>
      </c>
      <c r="M10" s="26">
        <v>42726</v>
      </c>
      <c r="N10" s="2">
        <v>22</v>
      </c>
      <c r="O10" s="18">
        <v>12</v>
      </c>
      <c r="P10" s="29">
        <f>SUMIFS(FLUXOVENDA!K:K,FLUXOVENDA!C:C,CODVENDA!A10,FLUXOVENDA!N:N,CONFIG!$G$3)</f>
        <v>68</v>
      </c>
    </row>
    <row r="11" spans="1:16" x14ac:dyDescent="0.25">
      <c r="A11" s="18">
        <v>10</v>
      </c>
      <c r="B11" s="20">
        <v>4</v>
      </c>
      <c r="C11" s="21" t="s">
        <v>37</v>
      </c>
      <c r="D11" s="23">
        <f>SUMIFS(FLUXOVENDA!K:K,FLUXOVENDA!C:C,CODVENDA!A11,FLUXOVENDA!N:N,CONFIG!$G$2)</f>
        <v>0</v>
      </c>
      <c r="E11" t="s">
        <v>130</v>
      </c>
      <c r="F11" t="s">
        <v>55</v>
      </c>
      <c r="G11" s="22">
        <v>3.8425925925925923E-3</v>
      </c>
      <c r="I11" t="s">
        <v>132</v>
      </c>
      <c r="J11" s="11">
        <v>0.7</v>
      </c>
      <c r="K11" s="11">
        <v>7.7</v>
      </c>
      <c r="L11" t="s">
        <v>127</v>
      </c>
      <c r="M11" s="26">
        <v>42726</v>
      </c>
      <c r="N11" s="2">
        <v>22</v>
      </c>
      <c r="O11" s="18">
        <v>12</v>
      </c>
      <c r="P11" s="29">
        <f>SUMIFS(FLUXOVENDA!K:K,FLUXOVENDA!C:C,CODVENDA!A11,FLUXOVENDA!N:N,CONFIG!$G$3)</f>
        <v>7</v>
      </c>
    </row>
    <row r="12" spans="1:16" x14ac:dyDescent="0.25">
      <c r="A12" s="18">
        <v>11</v>
      </c>
      <c r="B12" s="20">
        <v>1</v>
      </c>
      <c r="C12" s="21" t="s">
        <v>34</v>
      </c>
      <c r="D12" s="23">
        <f>SUMIFS(FLUXOVENDA!K:K,FLUXOVENDA!C:C,CODVENDA!A12,FLUXOVENDA!N:N,CONFIG!$G$2)</f>
        <v>0</v>
      </c>
      <c r="E12" t="s">
        <v>130</v>
      </c>
      <c r="F12" t="s">
        <v>58</v>
      </c>
      <c r="G12" s="22">
        <v>0.71159722222222221</v>
      </c>
      <c r="I12" t="s">
        <v>132</v>
      </c>
      <c r="J12" s="11">
        <v>0.35</v>
      </c>
      <c r="K12" s="11">
        <v>3.85</v>
      </c>
      <c r="L12" t="s">
        <v>120</v>
      </c>
      <c r="M12" s="26">
        <v>42726</v>
      </c>
      <c r="N12" s="2">
        <v>22</v>
      </c>
      <c r="O12" s="18">
        <v>12</v>
      </c>
      <c r="P12" s="29">
        <f ca="1">SUMIFS(FLUXOVENDA!W:W,FLUXOVENDA!O:O,CODVENDA!M12,FLUXOVENDA!Z:Z,CONFIG!$G$3)</f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D18"/>
  <sheetViews>
    <sheetView tabSelected="1" workbookViewId="0">
      <selection activeCell="H4" sqref="H4"/>
    </sheetView>
  </sheetViews>
  <sheetFormatPr defaultRowHeight="15" x14ac:dyDescent="0.25"/>
  <cols>
    <col min="1" max="1" width="38.85546875" bestFit="1" customWidth="1"/>
    <col min="2" max="2" width="19.28515625" style="9" bestFit="1" customWidth="1"/>
    <col min="3" max="3" width="15" style="27" customWidth="1"/>
  </cols>
  <sheetData>
    <row r="1" spans="1:4" x14ac:dyDescent="0.25">
      <c r="A1" t="s">
        <v>115</v>
      </c>
      <c r="B1" s="9">
        <f ca="1">DAY(TODAY())</f>
        <v>22</v>
      </c>
      <c r="C1" s="27">
        <f ca="1">SUMIF(CODVENDA!N:N,RESUMO!B1,CODVENDA!K:K)</f>
        <v>138.04999999999998</v>
      </c>
    </row>
    <row r="2" spans="1:4" x14ac:dyDescent="0.25">
      <c r="A2" t="s">
        <v>119</v>
      </c>
      <c r="C2" s="27">
        <f ca="1">SUMIF(CODVENDA!O:O,RESUMO!B3,CODVENDA!K:K)</f>
        <v>207.54999999999998</v>
      </c>
    </row>
    <row r="3" spans="1:4" x14ac:dyDescent="0.25">
      <c r="A3" t="s">
        <v>114</v>
      </c>
      <c r="B3" s="9">
        <f ca="1">MONTH(TODAY())</f>
        <v>12</v>
      </c>
      <c r="C3" s="27">
        <f ca="1">SUMIF(FLUXOVENDA!O:O,RESUMO!B3,FLUXOVENDA!K:K)</f>
        <v>192</v>
      </c>
      <c r="D3" s="28"/>
    </row>
    <row r="4" spans="1:4" x14ac:dyDescent="0.25">
      <c r="A4" t="s">
        <v>116</v>
      </c>
      <c r="B4" s="9">
        <f ca="1">B1</f>
        <v>22</v>
      </c>
      <c r="C4" s="27">
        <f ca="1">SUMIF(CODVENDA!N:N,RESUMO!B1,CODVENDA!J:J)</f>
        <v>12.549999999999999</v>
      </c>
    </row>
    <row r="5" spans="1:4" x14ac:dyDescent="0.25">
      <c r="A5" t="s">
        <v>117</v>
      </c>
      <c r="C5" s="27">
        <f ca="1">SUMIF(CODVENDA!O:O,RESUMO!B3,CODVENDA!J:J)</f>
        <v>15.549999999999999</v>
      </c>
    </row>
    <row r="6" spans="1:4" x14ac:dyDescent="0.25">
      <c r="A6" t="s">
        <v>122</v>
      </c>
      <c r="B6" s="9" t="s">
        <v>120</v>
      </c>
      <c r="C6" s="27">
        <f ca="1">SUMIFS(CODVENDA!K:K,CODVENDA!L:L,RESUMO!B6,CODVENDA!N:N,RESUMO!B1)</f>
        <v>78.649999999999991</v>
      </c>
    </row>
    <row r="7" spans="1:4" x14ac:dyDescent="0.25">
      <c r="A7" t="s">
        <v>123</v>
      </c>
      <c r="B7" s="9" t="s">
        <v>121</v>
      </c>
      <c r="C7" s="27">
        <f ca="1">SUMIFS(CODVENDA!K:K,CODVENDA!L:L,RESUMO!B7,CODVENDA!N:N,RESUMO!B1)</f>
        <v>51.7</v>
      </c>
    </row>
    <row r="8" spans="1:4" x14ac:dyDescent="0.25">
      <c r="A8" t="s">
        <v>126</v>
      </c>
      <c r="B8" s="9" t="s">
        <v>127</v>
      </c>
      <c r="C8" s="27">
        <f ca="1">SUMIFS(CODVENDA!K:K,CODVENDA!L:L,RESUMO!B8,CODVENDA!N:N,RESUMO!B1)</f>
        <v>7.7</v>
      </c>
    </row>
    <row r="9" spans="1:4" x14ac:dyDescent="0.25">
      <c r="A9" t="s">
        <v>124</v>
      </c>
      <c r="B9" s="9" t="s">
        <v>120</v>
      </c>
      <c r="C9" s="27">
        <f ca="1">SUMIFS(CODVENDA!K:K,CODVENDA!L:L,RESUMO!B6,CODVENDA!O:O,RESUMO!B3)</f>
        <v>128.35</v>
      </c>
    </row>
    <row r="10" spans="1:4" x14ac:dyDescent="0.25">
      <c r="A10" t="s">
        <v>125</v>
      </c>
      <c r="B10" s="9" t="s">
        <v>121</v>
      </c>
      <c r="C10" s="27">
        <f ca="1">SUMIFS(CODVENDA!K:K,CODVENDA!L:L,RESUMO!B7,CODVENDA!O:O,RESUMO!B3)</f>
        <v>51.7</v>
      </c>
    </row>
    <row r="11" spans="1:4" x14ac:dyDescent="0.25">
      <c r="A11" s="1" t="s">
        <v>9</v>
      </c>
      <c r="B11" s="9" t="s">
        <v>127</v>
      </c>
      <c r="C11" s="27">
        <f ca="1">SUMIFS(CODVENDA!K:K,CODVENDA!L:L,RESUMO!B8,CODVENDA!O:O,RESUMO!B3)</f>
        <v>27.5</v>
      </c>
    </row>
    <row r="13" spans="1:4" x14ac:dyDescent="0.25">
      <c r="A13" t="s">
        <v>128</v>
      </c>
    </row>
    <row r="14" spans="1:4" x14ac:dyDescent="0.25">
      <c r="A14" t="s">
        <v>129</v>
      </c>
      <c r="B14" s="9" t="str">
        <f>FUNCIONARIO!B2</f>
        <v>DENIS BARRETO</v>
      </c>
      <c r="C14" s="27">
        <f ca="1">SUMIFS(FLUXOVENDA!K:K,FLUXOVENDA!H:H,RESUMO!B14,FLUXOVENDA!O:O,RESUMO!$B$3)</f>
        <v>3.5</v>
      </c>
    </row>
    <row r="15" spans="1:4" x14ac:dyDescent="0.25">
      <c r="A15" t="s">
        <v>129</v>
      </c>
      <c r="B15" s="9" t="str">
        <f>FUNCIONARIO!B3</f>
        <v>WELLINGTON SOUZA</v>
      </c>
      <c r="C15" s="27">
        <f ca="1">SUMIFS(FLUXOVENDA!K:K,FLUXOVENDA!H:H,RESUMO!B15,FLUXOVENDA!O:O,RESUMO!$B$3)</f>
        <v>48.5</v>
      </c>
    </row>
    <row r="16" spans="1:4" x14ac:dyDescent="0.25">
      <c r="A16" t="s">
        <v>129</v>
      </c>
      <c r="B16" s="9" t="str">
        <f>FUNCIONARIO!B4</f>
        <v>DAIANE BARRETO</v>
      </c>
      <c r="C16" s="27">
        <f ca="1">SUMIFS(FLUXOVENDA!K:K,FLUXOVENDA!H:H,RESUMO!B16,FLUXOVENDA!O:O,RESUMO!$B$3)</f>
        <v>95.5</v>
      </c>
    </row>
    <row r="17" spans="1:3" x14ac:dyDescent="0.25">
      <c r="A17" t="s">
        <v>129</v>
      </c>
      <c r="B17" s="9" t="str">
        <f>FUNCIONARIO!B5</f>
        <v>WAGNER GOMES</v>
      </c>
      <c r="C17" s="27">
        <f ca="1">SUMIFS(FLUXOVENDA!K:K,FLUXOVENDA!H:H,RESUMO!B17,FLUXOVENDA!O:O,RESUMO!$B$3)</f>
        <v>37.5</v>
      </c>
    </row>
    <row r="18" spans="1:3" x14ac:dyDescent="0.25">
      <c r="A18" t="s">
        <v>129</v>
      </c>
      <c r="B18" s="9" t="str">
        <f>FUNCIONARIO!B6</f>
        <v>CLIENTE</v>
      </c>
      <c r="C18" s="27">
        <f ca="1">SUMIFS(FLUXOVENDA!K:K,FLUXOVENDA!H:H,RESUMO!B18,FLUXOVENDA!O:O,RESUMO!$B$3)</f>
        <v>7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1</vt:i4>
      </vt:variant>
    </vt:vector>
  </HeadingPairs>
  <TitlesOfParts>
    <vt:vector size="9" baseType="lpstr">
      <vt:lpstr>FUNCIONARIO</vt:lpstr>
      <vt:lpstr>FLUXOFUNCIONARIOS</vt:lpstr>
      <vt:lpstr>MESAS</vt:lpstr>
      <vt:lpstr>PRODUTOS</vt:lpstr>
      <vt:lpstr>CONFIG</vt:lpstr>
      <vt:lpstr>FLUXOVENDA</vt:lpstr>
      <vt:lpstr>CODVENDA</vt:lpstr>
      <vt:lpstr>RESUMO</vt:lpstr>
      <vt:lpstr>GRUPOPRODUTOS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Wssj</dc:creator>
  <cp:lastModifiedBy>Wssj</cp:lastModifiedBy>
  <dcterms:created xsi:type="dcterms:W3CDTF">2016-12-17T16:08:30Z</dcterms:created>
  <dcterms:modified xsi:type="dcterms:W3CDTF">2016-12-22T19:05:38Z</dcterms:modified>
</cp:coreProperties>
</file>