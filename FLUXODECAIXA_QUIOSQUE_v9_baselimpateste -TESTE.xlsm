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Quiosque 63B Barra da Tijuca\SISTEMA FLUXO DE CAIXA QUIOSQUE\"/>
    </mc:Choice>
  </mc:AlternateContent>
  <xr:revisionPtr revIDLastSave="0" documentId="13_ncr:1_{9EF3113D-7029-4679-BBAC-8B825AE9462E}" xr6:coauthVersionLast="45" xr6:coauthVersionMax="45" xr10:uidLastSave="{00000000-0000-0000-0000-000000000000}"/>
  <bookViews>
    <workbookView xWindow="-120" yWindow="-120" windowWidth="20730" windowHeight="11160" firstSheet="8" activeTab="5" xr2:uid="{00000000-000D-0000-FFFF-FFFF00000000}"/>
  </bookViews>
  <sheets>
    <sheet name="FUNCIONARIO" sheetId="1" state="veryHidden" r:id="rId1"/>
    <sheet name="FLUXOFUNCIONARIOS" sheetId="5" state="veryHidden" r:id="rId2"/>
    <sheet name="MESAS" sheetId="2" state="veryHidden" r:id="rId3"/>
    <sheet name="PRODUTOS" sheetId="3" state="veryHidden" r:id="rId4"/>
    <sheet name="CONFIG" sheetId="6" state="veryHidden" r:id="rId5"/>
    <sheet name="FLUXOVENDA" sheetId="4" state="veryHidden" r:id="rId6"/>
    <sheet name="CODVENDA" sheetId="7" state="veryHidden" r:id="rId7"/>
    <sheet name="RESUMO" sheetId="8" state="veryHidden" r:id="rId8"/>
    <sheet name="Planilha1" sheetId="9" r:id="rId9"/>
  </sheets>
  <functionGroups builtInGroupCount="19"/>
  <definedNames>
    <definedName name="_xlnm._FilterDatabase" localSheetId="5" hidden="1">FLUXOVENDA!$A$1:$Q$1</definedName>
    <definedName name="GRUPOPRODUTOS">CONFIG!$B$2:$B$13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7" l="1"/>
  <c r="P19" i="7" l="1"/>
  <c r="D19" i="7"/>
  <c r="D18" i="7"/>
  <c r="D17" i="7"/>
  <c r="P16" i="7" l="1"/>
  <c r="D16" i="7"/>
  <c r="D15" i="7"/>
  <c r="D14" i="7" l="1"/>
  <c r="D13" i="7"/>
  <c r="P12" i="7"/>
  <c r="D12" i="7"/>
  <c r="D11" i="7"/>
  <c r="P10" i="7"/>
  <c r="D10" i="7"/>
  <c r="P9" i="7"/>
  <c r="D9" i="7"/>
  <c r="P8" i="7"/>
  <c r="D8" i="7"/>
  <c r="B1" i="8"/>
  <c r="D7" i="7"/>
  <c r="D6" i="7" l="1"/>
  <c r="D5" i="7"/>
  <c r="D4" i="7"/>
  <c r="D3" i="7"/>
  <c r="D2" i="7" l="1"/>
  <c r="B15" i="8" l="1"/>
  <c r="B21" i="8" s="1"/>
  <c r="B27" i="8" s="1"/>
  <c r="B16" i="8"/>
  <c r="B22" i="8" s="1"/>
  <c r="B28" i="8" s="1"/>
  <c r="B17" i="8"/>
  <c r="B23" i="8" s="1"/>
  <c r="B29" i="8" s="1"/>
  <c r="B18" i="8"/>
  <c r="B24" i="8" s="1"/>
  <c r="B30" i="8" s="1"/>
  <c r="B19" i="8"/>
  <c r="B25" i="8" s="1"/>
  <c r="B31" i="8" s="1"/>
  <c r="B3" i="8" l="1"/>
  <c r="C1" i="8"/>
  <c r="C27" i="8" l="1"/>
  <c r="C30" i="8"/>
  <c r="C31" i="8"/>
  <c r="C28" i="8"/>
  <c r="C29" i="8"/>
  <c r="C21" i="8"/>
  <c r="D21" i="8" s="1"/>
  <c r="C23" i="8"/>
  <c r="D23" i="8" s="1"/>
  <c r="C24" i="8"/>
  <c r="D24" i="8" s="1"/>
  <c r="C25" i="8"/>
  <c r="D25" i="8" s="1"/>
  <c r="C22" i="8"/>
  <c r="D22" i="8" s="1"/>
  <c r="C15" i="8"/>
  <c r="C16" i="8"/>
  <c r="C18" i="8"/>
  <c r="C17" i="8"/>
  <c r="C19" i="8"/>
  <c r="C10" i="8"/>
  <c r="C11" i="8"/>
  <c r="C3" i="8"/>
  <c r="C9" i="8"/>
  <c r="C7" i="8"/>
  <c r="D7" i="8" s="1"/>
  <c r="C8" i="8"/>
  <c r="D8" i="8" s="1"/>
  <c r="C6" i="8"/>
  <c r="D6" i="8" s="1"/>
  <c r="C2" i="8"/>
  <c r="C5" i="8"/>
  <c r="C4" i="8"/>
  <c r="B4" i="8"/>
  <c r="D27" i="8" l="1"/>
  <c r="D30" i="8"/>
  <c r="D31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<sst xmlns="http://schemas.openxmlformats.org/spreadsheetml/2006/main" count="501" uniqueCount="156">
  <si>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</si>
  <si>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</si>
  <si>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</si>
  <si>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</si>
  <si>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</si>
  <si>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</si>
  <si>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</si>
  <si>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</si>
  <si>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</si>
  <si>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</si>
  <si>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</si>
  <si>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</si>
  <si>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</si>
  <si>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</si>
  <si>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</si>
  <si>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</si>
  <si>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</si>
  <si>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</si>
  <si>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</si>
  <si>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</si>
  <si>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</si>
  <si>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</si>
  <si>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</si>
  <si>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</si>
  <si>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</si>
  <si>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</si>
  <si>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</si>
  <si>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</si>
  <si>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</si>
  <si>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</si>
  <si>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</si>
  <si>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</si>
  <si>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</si>
  <si>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</si>
  <si>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</si>
  <si>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</si>
  <si>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</si>
  <si>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</si>
  <si>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</si>
  <si>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</si>
  <si>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</si>
  <si>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</si>
  <si>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</si>
  <si>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</si>
  <si>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</si>
  <si>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</si>
  <si>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</si>
  <si>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</si>
  <si>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</si>
  <si>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</si>
  <si>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</si>
  <si>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</si>
  <si>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</si>
  <si>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</si>
  <si>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</si>
  <si>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</si>
  <si>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</si>
  <si>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</si>
  <si>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</si>
  <si>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</si>
  <si>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</si>
  <si>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</si>
  <si>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</si>
  <si>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</si>
  <si>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</si>
  <si>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</si>
  <si>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</si>
  <si>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</si>
  <si>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</si>
  <si>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</si>
  <si>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</si>
  <si>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</si>
  <si>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</si>
  <si>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</si>
  <si>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</si>
  <si>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</si>
  <si>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</si>
  <si>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</si>
  <si>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</si>
  <si>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</si>
  <si>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</si>
  <si>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</si>
  <si>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</si>
  <si>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</si>
  <si>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</si>
  <si>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</si>
  <si>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</si>
  <si>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</si>
  <si>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</si>
  <si>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</si>
  <si>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</si>
  <si>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</si>
  <si>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</si>
  <si>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</si>
  <si>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</si>
  <si>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</si>
  <si>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</si>
  <si>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</si>
  <si>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</si>
  <si>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</si>
  <si>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</si>
  <si>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</si>
  <si>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</si>
  <si>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</si>
  <si>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</si>
  <si>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</si>
  <si>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</si>
  <si>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</si>
  <si>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</si>
  <si>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</si>
  <si>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</si>
  <si>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</si>
  <si>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</si>
  <si>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</si>
  <si>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</si>
  <si>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</si>
  <si>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</si>
  <si>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</si>
  <si>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</si>
  <si>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</si>
  <si>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</si>
  <si>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</si>
  <si>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</si>
  <si>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</si>
  <si>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</si>
  <si>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</si>
  <si>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</si>
  <si>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</si>
  <si>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</si>
  <si>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VLR SEM%</t>
  </si>
  <si>
    <t>ABERTO</t>
  </si>
  <si>
    <t>NOMECLIENTE</t>
  </si>
  <si>
    <t>VALOR À PAGAR</t>
  </si>
  <si>
    <t>CIGARRO MAÇO</t>
  </si>
  <si>
    <t>CIGARROS</t>
  </si>
  <si>
    <t>SERVIÇOS</t>
  </si>
  <si>
    <t>BANHEIRO</t>
  </si>
  <si>
    <t>CIGARRO VAREJO</t>
  </si>
  <si>
    <t>STELLA</t>
  </si>
  <si>
    <t>SKOL BEATS</t>
  </si>
  <si>
    <t>BRHAMA GARRAFINHA</t>
  </si>
  <si>
    <t>ENERGÉTICO</t>
  </si>
  <si>
    <t>REF. 2 LITROS</t>
  </si>
  <si>
    <t>NUGGETS</t>
  </si>
  <si>
    <t>AREIA</t>
  </si>
  <si>
    <t>BALCAO</t>
  </si>
  <si>
    <t>FINALIZADO</t>
  </si>
  <si>
    <t>NÃO</t>
  </si>
  <si>
    <t>MARCIO</t>
  </si>
  <si>
    <t>CAIXA</t>
  </si>
  <si>
    <t xml:space="preserve"> 1 MESA </t>
  </si>
  <si>
    <t>SIM</t>
  </si>
  <si>
    <t xml:space="preserve"> 2 MESA </t>
  </si>
  <si>
    <t xml:space="preserve"> 8 MESA </t>
  </si>
  <si>
    <t>BONÉ AMARELO</t>
  </si>
  <si>
    <t>SR FABIO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</si>
</sst>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  <xf numFmtId="19" fontId="0" fillId="0" borderId="0" xfId="0" applyNumberFormat="1"/>
    <xf numFmtId="0" fontId="0" fillId="0" borderId="0" xfId="0" applyAlignment="1">
      <alignment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58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59</v>
      </c>
    </row>
    <row r="5" spans="1:7" x14ac:dyDescent="0.25">
      <c r="A5" s="11">
        <v>4</v>
      </c>
      <c r="B5" t="s">
        <v>60</v>
      </c>
    </row>
    <row r="6" spans="1:7" x14ac:dyDescent="0.25">
      <c r="A6" s="11">
        <v>5</v>
      </c>
      <c r="B6" t="s">
        <v>106</v>
      </c>
    </row>
    <row r="7" spans="1:7" x14ac:dyDescent="0.25">
      <c r="A7" s="11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19"/>
  <sheetViews>
    <sheetView workbookViewId="0">
      <selection activeCell="F12" sqref="F12"/>
    </sheetView>
  </sheetViews>
  <sheetFormatPr defaultRowHeight="15" x14ac:dyDescent="0.25"/>
  <cols>
    <col min="1" max="1" width="11.140625" style="2" customWidth="1"/>
    <col min="2" max="2" width="10.85546875" customWidth="1"/>
    <col min="3" max="3" width="14.140625" customWidth="1"/>
  </cols>
  <sheetData>
    <row r="1" spans="1:6" x14ac:dyDescent="0.25">
      <c r="A1" s="24" t="s">
        <v>0</v>
      </c>
      <c r="B1" s="25" t="s">
        <v>17</v>
      </c>
      <c r="C1" s="26" t="s">
        <v>25</v>
      </c>
    </row>
    <row r="2" spans="1:6" x14ac:dyDescent="0.25">
      <c r="A2" s="2">
        <v>1</v>
      </c>
      <c r="B2" t="s">
        <v>34</v>
      </c>
      <c r="C2" t="s">
        <v>103</v>
      </c>
      <c r="F2" s="2"/>
    </row>
    <row r="3" spans="1:6" x14ac:dyDescent="0.25">
      <c r="A3" s="2">
        <v>2</v>
      </c>
      <c r="B3" t="s">
        <v>35</v>
      </c>
      <c r="C3" t="s">
        <v>103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103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E43"/>
  <sheetViews>
    <sheetView workbookViewId="0">
      <selection activeCell="E46" sqref="E46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4" t="s">
        <v>18</v>
      </c>
      <c r="B1" s="25" t="s">
        <v>19</v>
      </c>
      <c r="C1" s="26" t="s">
        <v>26</v>
      </c>
      <c r="D1" s="24" t="s">
        <v>52</v>
      </c>
      <c r="E1" s="25" t="s">
        <v>57</v>
      </c>
    </row>
    <row r="2" spans="1:5" x14ac:dyDescent="0.25">
      <c r="A2">
        <v>1</v>
      </c>
      <c r="B2" t="s">
        <v>64</v>
      </c>
      <c r="C2" t="s">
        <v>61</v>
      </c>
      <c r="D2" s="8">
        <v>5</v>
      </c>
    </row>
    <row r="3" spans="1:5" x14ac:dyDescent="0.25">
      <c r="A3">
        <v>2</v>
      </c>
      <c r="B3" t="s">
        <v>139</v>
      </c>
      <c r="C3" t="s">
        <v>61</v>
      </c>
      <c r="D3" s="8">
        <v>9</v>
      </c>
    </row>
    <row r="4" spans="1:5" x14ac:dyDescent="0.25">
      <c r="A4">
        <v>3</v>
      </c>
      <c r="B4" t="s">
        <v>65</v>
      </c>
      <c r="C4" t="s">
        <v>61</v>
      </c>
      <c r="D4" s="8">
        <v>5</v>
      </c>
    </row>
    <row r="5" spans="1:5" x14ac:dyDescent="0.25">
      <c r="A5">
        <v>4</v>
      </c>
      <c r="B5" t="s">
        <v>140</v>
      </c>
      <c r="C5" t="s">
        <v>61</v>
      </c>
      <c r="D5" s="8">
        <v>5</v>
      </c>
    </row>
    <row r="6" spans="1:5" x14ac:dyDescent="0.25">
      <c r="A6">
        <v>5</v>
      </c>
      <c r="B6" t="s">
        <v>66</v>
      </c>
      <c r="C6" t="s">
        <v>61</v>
      </c>
      <c r="D6" s="8">
        <v>5</v>
      </c>
    </row>
    <row r="7" spans="1:5" x14ac:dyDescent="0.25">
      <c r="A7">
        <v>6</v>
      </c>
      <c r="B7" t="s">
        <v>76</v>
      </c>
      <c r="C7" t="s">
        <v>61</v>
      </c>
      <c r="D7" s="8">
        <v>7</v>
      </c>
    </row>
    <row r="8" spans="1:5" x14ac:dyDescent="0.25">
      <c r="A8">
        <v>7</v>
      </c>
      <c r="B8" t="s">
        <v>138</v>
      </c>
      <c r="C8" t="s">
        <v>61</v>
      </c>
      <c r="D8" s="8">
        <v>7</v>
      </c>
    </row>
    <row r="9" spans="1:5" x14ac:dyDescent="0.25">
      <c r="A9">
        <v>8</v>
      </c>
      <c r="B9" t="s">
        <v>141</v>
      </c>
      <c r="C9" t="s">
        <v>30</v>
      </c>
      <c r="D9" s="8">
        <v>15</v>
      </c>
    </row>
    <row r="10" spans="1:5" x14ac:dyDescent="0.25">
      <c r="A10">
        <v>9</v>
      </c>
      <c r="B10" t="s">
        <v>142</v>
      </c>
      <c r="C10" t="s">
        <v>62</v>
      </c>
      <c r="D10" s="8">
        <v>12</v>
      </c>
    </row>
    <row r="11" spans="1:5" x14ac:dyDescent="0.25">
      <c r="A11">
        <v>10</v>
      </c>
      <c r="B11" t="s">
        <v>67</v>
      </c>
      <c r="C11" t="s">
        <v>31</v>
      </c>
      <c r="D11" s="8">
        <v>4</v>
      </c>
    </row>
    <row r="12" spans="1:5" x14ac:dyDescent="0.25">
      <c r="A12">
        <v>11</v>
      </c>
      <c r="B12" t="s">
        <v>68</v>
      </c>
      <c r="C12" t="s">
        <v>31</v>
      </c>
      <c r="D12" s="8">
        <v>5</v>
      </c>
    </row>
    <row r="13" spans="1:5" x14ac:dyDescent="0.25">
      <c r="A13">
        <v>12</v>
      </c>
      <c r="B13" t="s">
        <v>53</v>
      </c>
      <c r="C13" t="s">
        <v>31</v>
      </c>
      <c r="D13" s="8">
        <v>6</v>
      </c>
    </row>
    <row r="14" spans="1:5" x14ac:dyDescent="0.25">
      <c r="A14">
        <v>13</v>
      </c>
      <c r="B14" t="s">
        <v>74</v>
      </c>
      <c r="C14" t="s">
        <v>62</v>
      </c>
      <c r="D14" s="8">
        <v>5</v>
      </c>
    </row>
    <row r="15" spans="1:5" x14ac:dyDescent="0.25">
      <c r="A15">
        <v>14</v>
      </c>
      <c r="B15" t="s">
        <v>77</v>
      </c>
      <c r="C15" t="s">
        <v>82</v>
      </c>
      <c r="D15" s="8">
        <v>6</v>
      </c>
    </row>
    <row r="16" spans="1:5" x14ac:dyDescent="0.25">
      <c r="A16">
        <v>15</v>
      </c>
      <c r="B16" t="s">
        <v>69</v>
      </c>
      <c r="C16" t="s">
        <v>62</v>
      </c>
      <c r="D16" s="8">
        <v>5</v>
      </c>
    </row>
    <row r="17" spans="1:4" x14ac:dyDescent="0.25">
      <c r="A17">
        <v>16</v>
      </c>
      <c r="B17" t="s">
        <v>70</v>
      </c>
      <c r="C17" t="s">
        <v>62</v>
      </c>
      <c r="D17" s="8">
        <v>5</v>
      </c>
    </row>
    <row r="18" spans="1:4" x14ac:dyDescent="0.25">
      <c r="A18">
        <v>17</v>
      </c>
      <c r="B18" t="s">
        <v>71</v>
      </c>
      <c r="C18" t="s">
        <v>62</v>
      </c>
      <c r="D18" s="8">
        <v>5</v>
      </c>
    </row>
    <row r="19" spans="1:4" x14ac:dyDescent="0.25">
      <c r="A19">
        <v>18</v>
      </c>
      <c r="B19" t="s">
        <v>72</v>
      </c>
      <c r="C19" t="s">
        <v>62</v>
      </c>
      <c r="D19" s="8">
        <v>5</v>
      </c>
    </row>
    <row r="20" spans="1:4" x14ac:dyDescent="0.25">
      <c r="A20">
        <v>19</v>
      </c>
      <c r="B20" t="s">
        <v>78</v>
      </c>
      <c r="C20" t="s">
        <v>31</v>
      </c>
      <c r="D20" s="8">
        <v>3</v>
      </c>
    </row>
    <row r="21" spans="1:4" x14ac:dyDescent="0.25">
      <c r="A21">
        <v>20</v>
      </c>
      <c r="B21" t="s">
        <v>79</v>
      </c>
      <c r="C21" t="s">
        <v>31</v>
      </c>
      <c r="D21" s="8">
        <v>5</v>
      </c>
    </row>
    <row r="22" spans="1:4" x14ac:dyDescent="0.25">
      <c r="A22">
        <v>21</v>
      </c>
      <c r="B22" t="s">
        <v>80</v>
      </c>
      <c r="C22" t="s">
        <v>31</v>
      </c>
      <c r="D22" s="8">
        <v>4</v>
      </c>
    </row>
    <row r="23" spans="1:4" x14ac:dyDescent="0.25">
      <c r="A23">
        <v>22</v>
      </c>
      <c r="B23" t="s">
        <v>73</v>
      </c>
      <c r="C23" t="s">
        <v>63</v>
      </c>
      <c r="D23" s="8">
        <v>15</v>
      </c>
    </row>
    <row r="24" spans="1:4" x14ac:dyDescent="0.25">
      <c r="A24">
        <v>23</v>
      </c>
      <c r="B24" t="s">
        <v>75</v>
      </c>
      <c r="C24" t="s">
        <v>63</v>
      </c>
      <c r="D24" s="8">
        <v>15</v>
      </c>
    </row>
    <row r="25" spans="1:4" x14ac:dyDescent="0.25">
      <c r="A25">
        <v>24</v>
      </c>
      <c r="B25" t="s">
        <v>81</v>
      </c>
      <c r="C25" t="s">
        <v>63</v>
      </c>
      <c r="D25" s="8">
        <v>10</v>
      </c>
    </row>
    <row r="26" spans="1:4" x14ac:dyDescent="0.25">
      <c r="A26">
        <v>25</v>
      </c>
      <c r="B26" t="s">
        <v>83</v>
      </c>
      <c r="C26" t="s">
        <v>28</v>
      </c>
      <c r="D26" s="8">
        <v>15</v>
      </c>
    </row>
    <row r="27" spans="1:4" x14ac:dyDescent="0.25">
      <c r="A27">
        <v>26</v>
      </c>
      <c r="B27" t="s">
        <v>84</v>
      </c>
      <c r="C27" t="s">
        <v>28</v>
      </c>
      <c r="D27" s="8">
        <v>15</v>
      </c>
    </row>
    <row r="28" spans="1:4" x14ac:dyDescent="0.25">
      <c r="A28">
        <v>27</v>
      </c>
      <c r="B28" t="s">
        <v>85</v>
      </c>
      <c r="C28" t="s">
        <v>32</v>
      </c>
      <c r="D28" s="8">
        <v>80</v>
      </c>
    </row>
    <row r="29" spans="1:4" x14ac:dyDescent="0.25">
      <c r="A29">
        <v>28</v>
      </c>
      <c r="B29" t="s">
        <v>86</v>
      </c>
      <c r="C29" t="s">
        <v>32</v>
      </c>
      <c r="D29" s="8">
        <v>80</v>
      </c>
    </row>
    <row r="30" spans="1:4" x14ac:dyDescent="0.25">
      <c r="A30">
        <v>29</v>
      </c>
      <c r="B30" t="s">
        <v>87</v>
      </c>
      <c r="C30" t="s">
        <v>33</v>
      </c>
      <c r="D30" s="8">
        <v>60</v>
      </c>
    </row>
    <row r="31" spans="1:4" x14ac:dyDescent="0.25">
      <c r="A31">
        <v>30</v>
      </c>
      <c r="B31" t="s">
        <v>88</v>
      </c>
      <c r="C31" t="s">
        <v>33</v>
      </c>
      <c r="D31" s="8">
        <v>40</v>
      </c>
    </row>
    <row r="32" spans="1:4" x14ac:dyDescent="0.25">
      <c r="A32">
        <v>31</v>
      </c>
      <c r="B32" t="s">
        <v>89</v>
      </c>
      <c r="C32" t="s">
        <v>33</v>
      </c>
      <c r="D32" s="8">
        <v>40</v>
      </c>
    </row>
    <row r="33" spans="1:4" x14ac:dyDescent="0.25">
      <c r="A33">
        <v>32</v>
      </c>
      <c r="B33" t="s">
        <v>90</v>
      </c>
      <c r="C33" t="s">
        <v>33</v>
      </c>
      <c r="D33" s="8">
        <v>40</v>
      </c>
    </row>
    <row r="34" spans="1:4" x14ac:dyDescent="0.25">
      <c r="A34">
        <v>33</v>
      </c>
      <c r="B34" t="s">
        <v>91</v>
      </c>
      <c r="C34" t="s">
        <v>33</v>
      </c>
      <c r="D34" s="8">
        <v>50</v>
      </c>
    </row>
    <row r="35" spans="1:4" x14ac:dyDescent="0.25">
      <c r="A35">
        <v>34</v>
      </c>
      <c r="B35" t="s">
        <v>92</v>
      </c>
      <c r="C35" t="s">
        <v>33</v>
      </c>
      <c r="D35" s="8">
        <v>20</v>
      </c>
    </row>
    <row r="36" spans="1:4" x14ac:dyDescent="0.25">
      <c r="A36">
        <v>35</v>
      </c>
      <c r="B36" t="s">
        <v>93</v>
      </c>
      <c r="C36" t="s">
        <v>33</v>
      </c>
      <c r="D36" s="8">
        <v>20</v>
      </c>
    </row>
    <row r="37" spans="1:4" x14ac:dyDescent="0.25">
      <c r="A37">
        <v>36</v>
      </c>
      <c r="B37" t="s">
        <v>94</v>
      </c>
      <c r="C37" t="s">
        <v>33</v>
      </c>
      <c r="D37" s="8">
        <v>40</v>
      </c>
    </row>
    <row r="38" spans="1:4" x14ac:dyDescent="0.25">
      <c r="A38">
        <v>37</v>
      </c>
      <c r="B38" t="s">
        <v>95</v>
      </c>
      <c r="C38" t="s">
        <v>33</v>
      </c>
      <c r="D38" s="8">
        <v>20</v>
      </c>
    </row>
    <row r="39" spans="1:4" x14ac:dyDescent="0.25">
      <c r="A39">
        <v>38</v>
      </c>
      <c r="B39" t="s">
        <v>96</v>
      </c>
      <c r="C39" t="s">
        <v>33</v>
      </c>
      <c r="D39" s="8">
        <v>30</v>
      </c>
    </row>
    <row r="40" spans="1:4" x14ac:dyDescent="0.25">
      <c r="A40">
        <v>39</v>
      </c>
      <c r="B40" t="s">
        <v>143</v>
      </c>
      <c r="C40" t="s">
        <v>33</v>
      </c>
      <c r="D40" s="8">
        <v>15</v>
      </c>
    </row>
    <row r="41" spans="1:4" x14ac:dyDescent="0.25">
      <c r="A41">
        <v>40</v>
      </c>
      <c r="B41" t="s">
        <v>133</v>
      </c>
      <c r="C41" t="s">
        <v>134</v>
      </c>
      <c r="D41" s="8">
        <v>15</v>
      </c>
    </row>
    <row r="42" spans="1:4" x14ac:dyDescent="0.25">
      <c r="A42">
        <v>41</v>
      </c>
      <c r="B42" t="s">
        <v>137</v>
      </c>
      <c r="C42" t="s">
        <v>134</v>
      </c>
      <c r="D42" s="8">
        <v>1</v>
      </c>
    </row>
    <row r="43" spans="1:4" x14ac:dyDescent="0.25">
      <c r="A43">
        <v>42</v>
      </c>
      <c r="B43" t="s">
        <v>136</v>
      </c>
      <c r="C43" t="s">
        <v>135</v>
      </c>
      <c r="D43" s="8">
        <v>2</v>
      </c>
    </row>
  </sheetData>
  <dataValidations count="1">
    <dataValidation type="list" allowBlank="1" showInputMessage="1" showErrorMessage="1" sqref="C2:C42 C44:C1048576" xr:uid="{00000000-0002-0000-0400-000000000000}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CONFIG!$B$2:$B$20</xm:f>
          </x14:formula1>
          <xm:sqref>C43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G14"/>
  <sheetViews>
    <sheetView workbookViewId="0">
      <selection activeCell="B15" sqref="B15"/>
    </sheetView>
  </sheetViews>
  <sheetFormatPr defaultRowHeight="15" x14ac:dyDescent="0.25"/>
  <cols>
    <col min="1" max="1" width="11.140625" bestFit="1" customWidth="1"/>
    <col min="2" max="2" width="22.42578125" bestFit="1" customWidth="1"/>
    <col min="7" max="7" width="9.28515625" bestFit="1" customWidth="1"/>
  </cols>
  <sheetData>
    <row r="1" spans="1:7" x14ac:dyDescent="0.25">
      <c r="A1" s="25" t="s">
        <v>27</v>
      </c>
      <c r="B1" s="25" t="s">
        <v>26</v>
      </c>
    </row>
    <row r="2" spans="1:7" x14ac:dyDescent="0.25">
      <c r="A2">
        <v>1</v>
      </c>
      <c r="B2" t="s">
        <v>32</v>
      </c>
      <c r="G2" s="17" t="s">
        <v>103</v>
      </c>
    </row>
    <row r="3" spans="1:7" x14ac:dyDescent="0.25">
      <c r="A3">
        <v>2</v>
      </c>
      <c r="B3" t="s">
        <v>28</v>
      </c>
      <c r="G3" s="17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  <c r="G5" t="s">
        <v>130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  <row r="13" spans="1:7" x14ac:dyDescent="0.25">
      <c r="A13">
        <v>12</v>
      </c>
      <c r="B13" t="s">
        <v>134</v>
      </c>
    </row>
    <row r="14" spans="1:7" x14ac:dyDescent="0.25">
      <c r="A14">
        <v>13</v>
      </c>
      <c r="B14" t="s">
        <v>135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R36"/>
  <sheetViews>
    <sheetView tabSelected="1" zoomScale="80" zoomScaleNormal="80" workbookViewId="0">
      <pane ySplit="1" topLeftCell="A2" activePane="bottomLeft" state="frozen"/>
      <selection pane="bottomLeft" activeCell="C27" sqref="C27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9.57031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9.85546875" style="12" bestFit="1" customWidth="1"/>
    <col min="13" max="13" width="8.425781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</cols>
  <sheetData>
    <row r="1" spans="1:18" x14ac:dyDescent="0.25">
      <c r="A1" s="25" t="s">
        <v>0</v>
      </c>
      <c r="B1" s="25" t="s">
        <v>22</v>
      </c>
      <c r="C1" s="25" t="s">
        <v>20</v>
      </c>
      <c r="D1" s="25" t="s">
        <v>18</v>
      </c>
      <c r="E1" s="25" t="s">
        <v>19</v>
      </c>
      <c r="F1" s="25" t="s">
        <v>26</v>
      </c>
      <c r="G1" s="25" t="s">
        <v>99</v>
      </c>
      <c r="H1" s="25" t="s">
        <v>21</v>
      </c>
      <c r="I1" s="25" t="s">
        <v>23</v>
      </c>
      <c r="J1" s="25" t="s">
        <v>24</v>
      </c>
      <c r="K1" s="25" t="s">
        <v>54</v>
      </c>
      <c r="L1" s="25" t="s">
        <v>100</v>
      </c>
      <c r="M1" s="25" t="s">
        <v>17</v>
      </c>
      <c r="N1" s="25" t="s">
        <v>25</v>
      </c>
      <c r="O1" s="25" t="s">
        <v>101</v>
      </c>
      <c r="P1" s="25" t="s">
        <v>102</v>
      </c>
      <c r="Q1" s="25" t="s">
        <v>117</v>
      </c>
      <c r="R1" s="25" t="s">
        <v>105</v>
      </c>
    </row>
    <row r="2" spans="1:18" x14ac:dyDescent="0.25">
      <c r="A2">
        <v>1</v>
      </c>
      <c r="B2" s="9">
        <v>42734</v>
      </c>
      <c r="C2" s="7">
        <v>1</v>
      </c>
      <c r="D2">
        <v>1</v>
      </c>
      <c r="E2" t="s">
        <v>64</v>
      </c>
      <c r="F2" t="s">
        <v>61</v>
      </c>
      <c r="G2">
        <v>0</v>
      </c>
      <c r="H2" t="s">
        <v>144</v>
      </c>
      <c r="I2" s="8">
        <v>5</v>
      </c>
      <c r="J2">
        <v>1</v>
      </c>
      <c r="K2" s="8">
        <v>5</v>
      </c>
      <c r="L2" s="12">
        <v>0</v>
      </c>
      <c r="M2" s="8" t="s">
        <v>145</v>
      </c>
      <c r="N2" t="s">
        <v>97</v>
      </c>
      <c r="O2" s="12">
        <v>12</v>
      </c>
      <c r="P2" s="2">
        <v>2016</v>
      </c>
      <c r="Q2">
        <v>24</v>
      </c>
      <c r="R2" s="36">
        <v>0.9679861111111111</v>
      </c>
    </row>
    <row r="3" spans="1:18" x14ac:dyDescent="0.25">
      <c r="A3">
        <v>2</v>
      </c>
      <c r="B3" s="9">
        <v>43288</v>
      </c>
      <c r="C3" s="7">
        <v>2</v>
      </c>
      <c r="D3">
        <v>15</v>
      </c>
      <c r="E3" t="s">
        <v>69</v>
      </c>
      <c r="F3" t="s">
        <v>62</v>
      </c>
      <c r="G3">
        <v>0</v>
      </c>
      <c r="H3" t="s">
        <v>144</v>
      </c>
      <c r="I3" s="8">
        <v>5</v>
      </c>
      <c r="J3">
        <v>5</v>
      </c>
      <c r="K3" s="8">
        <v>25</v>
      </c>
      <c r="L3" s="12">
        <v>0</v>
      </c>
      <c r="M3" s="8" t="s">
        <v>145</v>
      </c>
      <c r="N3" t="s">
        <v>97</v>
      </c>
      <c r="O3" s="12">
        <v>7</v>
      </c>
      <c r="P3" s="2">
        <v>2018</v>
      </c>
      <c r="Q3">
        <v>7</v>
      </c>
      <c r="R3" s="36">
        <v>0.79651620370370368</v>
      </c>
    </row>
    <row r="4" spans="1:18" x14ac:dyDescent="0.25">
      <c r="A4">
        <v>4</v>
      </c>
      <c r="B4" s="9">
        <v>43288</v>
      </c>
      <c r="C4" s="7">
        <v>2</v>
      </c>
      <c r="D4">
        <v>5</v>
      </c>
      <c r="E4" t="s">
        <v>66</v>
      </c>
      <c r="F4" t="s">
        <v>61</v>
      </c>
      <c r="G4">
        <v>0</v>
      </c>
      <c r="H4" t="s">
        <v>144</v>
      </c>
      <c r="I4" s="8">
        <v>5</v>
      </c>
      <c r="J4">
        <v>2</v>
      </c>
      <c r="K4" s="8">
        <v>10</v>
      </c>
      <c r="L4" s="12">
        <v>0</v>
      </c>
      <c r="M4" s="8" t="s">
        <v>145</v>
      </c>
      <c r="N4" t="s">
        <v>97</v>
      </c>
      <c r="O4" s="12">
        <v>7</v>
      </c>
      <c r="P4" s="2">
        <v>2018</v>
      </c>
      <c r="Q4">
        <v>7</v>
      </c>
      <c r="R4" s="36">
        <v>0.79651620370370368</v>
      </c>
    </row>
    <row r="5" spans="1:18" x14ac:dyDescent="0.25">
      <c r="A5">
        <v>5</v>
      </c>
      <c r="B5" s="9">
        <v>43288</v>
      </c>
      <c r="C5" s="7">
        <v>3</v>
      </c>
      <c r="D5">
        <v>2</v>
      </c>
      <c r="E5" t="s">
        <v>139</v>
      </c>
      <c r="F5" t="s">
        <v>61</v>
      </c>
      <c r="G5">
        <v>0</v>
      </c>
      <c r="H5" t="s">
        <v>149</v>
      </c>
      <c r="I5" s="8">
        <v>9</v>
      </c>
      <c r="J5">
        <v>2</v>
      </c>
      <c r="K5" s="8">
        <v>18</v>
      </c>
      <c r="L5" s="12">
        <v>0</v>
      </c>
      <c r="M5" s="8" t="s">
        <v>145</v>
      </c>
      <c r="N5" t="s">
        <v>97</v>
      </c>
      <c r="O5" s="12">
        <v>7</v>
      </c>
      <c r="P5" s="2">
        <v>2018</v>
      </c>
      <c r="Q5">
        <v>7</v>
      </c>
      <c r="R5" s="36">
        <v>0.79701388888888891</v>
      </c>
    </row>
    <row r="6" spans="1:18" x14ac:dyDescent="0.25">
      <c r="A6">
        <v>6</v>
      </c>
      <c r="B6" s="9">
        <v>43288</v>
      </c>
      <c r="C6" s="7">
        <v>3</v>
      </c>
      <c r="D6">
        <v>3</v>
      </c>
      <c r="E6" t="s">
        <v>65</v>
      </c>
      <c r="F6" t="s">
        <v>61</v>
      </c>
      <c r="G6">
        <v>0</v>
      </c>
      <c r="H6" t="s">
        <v>149</v>
      </c>
      <c r="I6" s="8">
        <v>5</v>
      </c>
      <c r="J6">
        <v>2</v>
      </c>
      <c r="K6" s="8">
        <v>10</v>
      </c>
      <c r="L6" s="12">
        <v>0</v>
      </c>
      <c r="M6" s="8" t="s">
        <v>145</v>
      </c>
      <c r="N6" t="s">
        <v>97</v>
      </c>
      <c r="O6" s="12">
        <v>7</v>
      </c>
      <c r="P6" s="2">
        <v>2018</v>
      </c>
      <c r="Q6">
        <v>7</v>
      </c>
      <c r="R6" s="36">
        <v>0.79701388888888891</v>
      </c>
    </row>
    <row r="7" spans="1:18" x14ac:dyDescent="0.25">
      <c r="A7">
        <v>7</v>
      </c>
      <c r="B7" s="9">
        <v>43288</v>
      </c>
      <c r="C7" s="7">
        <v>4</v>
      </c>
      <c r="D7">
        <v>2</v>
      </c>
      <c r="E7" t="s">
        <v>139</v>
      </c>
      <c r="F7" t="s">
        <v>61</v>
      </c>
      <c r="G7">
        <v>2</v>
      </c>
      <c r="H7" t="s">
        <v>55</v>
      </c>
      <c r="I7" s="8">
        <v>9</v>
      </c>
      <c r="J7">
        <v>2</v>
      </c>
      <c r="K7" s="8">
        <v>18</v>
      </c>
      <c r="L7" s="12">
        <v>1</v>
      </c>
      <c r="M7" s="8" t="s">
        <v>34</v>
      </c>
      <c r="N7" t="s">
        <v>97</v>
      </c>
      <c r="O7" s="12">
        <v>7</v>
      </c>
      <c r="P7" s="2">
        <v>2018</v>
      </c>
      <c r="Q7">
        <v>7</v>
      </c>
      <c r="R7" s="36">
        <v>0.79887731481481483</v>
      </c>
    </row>
    <row r="8" spans="1:18" x14ac:dyDescent="0.25">
      <c r="A8">
        <v>8</v>
      </c>
      <c r="B8" s="9">
        <v>43288</v>
      </c>
      <c r="C8" s="7">
        <v>4</v>
      </c>
      <c r="D8">
        <v>1</v>
      </c>
      <c r="E8" t="s">
        <v>64</v>
      </c>
      <c r="F8" t="s">
        <v>61</v>
      </c>
      <c r="G8">
        <v>2</v>
      </c>
      <c r="H8" t="s">
        <v>55</v>
      </c>
      <c r="I8" s="8">
        <v>5</v>
      </c>
      <c r="J8">
        <v>2</v>
      </c>
      <c r="K8" s="8">
        <v>10</v>
      </c>
      <c r="L8" s="12">
        <v>1</v>
      </c>
      <c r="M8" s="8" t="s">
        <v>34</v>
      </c>
      <c r="N8" t="s">
        <v>97</v>
      </c>
      <c r="O8" s="12">
        <v>7</v>
      </c>
      <c r="P8" s="2">
        <v>2018</v>
      </c>
      <c r="Q8">
        <v>7</v>
      </c>
      <c r="R8" s="36">
        <v>0.79887731481481483</v>
      </c>
    </row>
    <row r="9" spans="1:18" x14ac:dyDescent="0.25">
      <c r="A9">
        <v>9</v>
      </c>
      <c r="B9" s="9">
        <v>43288</v>
      </c>
      <c r="C9" s="7">
        <v>4</v>
      </c>
      <c r="D9">
        <v>1</v>
      </c>
      <c r="E9" t="s">
        <v>64</v>
      </c>
      <c r="F9" t="s">
        <v>61</v>
      </c>
      <c r="G9">
        <v>2</v>
      </c>
      <c r="H9" t="s">
        <v>55</v>
      </c>
      <c r="I9" s="8">
        <v>5</v>
      </c>
      <c r="J9">
        <v>1</v>
      </c>
      <c r="K9" s="8">
        <v>5</v>
      </c>
      <c r="L9" s="12">
        <v>1</v>
      </c>
      <c r="M9" s="8" t="s">
        <v>150</v>
      </c>
      <c r="N9" t="s">
        <v>97</v>
      </c>
      <c r="O9" s="12">
        <v>7</v>
      </c>
      <c r="P9" s="2">
        <v>2018</v>
      </c>
      <c r="Q9">
        <v>7</v>
      </c>
      <c r="R9" s="36">
        <v>0.79887731481481483</v>
      </c>
    </row>
    <row r="10" spans="1:18" x14ac:dyDescent="0.25">
      <c r="A10">
        <v>10</v>
      </c>
      <c r="B10" s="9">
        <v>43288</v>
      </c>
      <c r="C10" s="7">
        <v>5</v>
      </c>
      <c r="D10">
        <v>1</v>
      </c>
      <c r="E10" t="s">
        <v>64</v>
      </c>
      <c r="F10" t="s">
        <v>61</v>
      </c>
      <c r="G10">
        <v>1</v>
      </c>
      <c r="H10" t="s">
        <v>58</v>
      </c>
      <c r="I10" s="8">
        <v>5</v>
      </c>
      <c r="J10">
        <v>2</v>
      </c>
      <c r="K10" s="8">
        <v>10</v>
      </c>
      <c r="L10" s="12">
        <v>4</v>
      </c>
      <c r="M10" s="8" t="s">
        <v>37</v>
      </c>
      <c r="N10" t="s">
        <v>97</v>
      </c>
      <c r="O10" s="12">
        <v>7</v>
      </c>
      <c r="P10" s="2">
        <v>2018</v>
      </c>
      <c r="Q10">
        <v>7</v>
      </c>
      <c r="R10" s="36">
        <v>0.87480324074074067</v>
      </c>
    </row>
    <row r="11" spans="1:18" x14ac:dyDescent="0.25">
      <c r="A11">
        <v>11</v>
      </c>
      <c r="B11" s="9">
        <v>43288</v>
      </c>
      <c r="C11" s="7">
        <v>6</v>
      </c>
      <c r="D11">
        <v>1</v>
      </c>
      <c r="E11" t="s">
        <v>64</v>
      </c>
      <c r="F11" t="s">
        <v>61</v>
      </c>
      <c r="G11">
        <v>0</v>
      </c>
      <c r="H11" t="s">
        <v>149</v>
      </c>
      <c r="I11" s="8">
        <v>5</v>
      </c>
      <c r="J11">
        <v>1</v>
      </c>
      <c r="K11" s="8">
        <v>5</v>
      </c>
      <c r="L11" s="12">
        <v>0</v>
      </c>
      <c r="M11" s="8" t="s">
        <v>145</v>
      </c>
      <c r="N11" t="s">
        <v>97</v>
      </c>
      <c r="O11" s="12">
        <v>7</v>
      </c>
      <c r="P11" s="2">
        <v>2018</v>
      </c>
      <c r="Q11">
        <v>7</v>
      </c>
      <c r="R11" s="36">
        <v>0.87729166666666669</v>
      </c>
    </row>
    <row r="12" spans="1:18" x14ac:dyDescent="0.25">
      <c r="A12">
        <v>12</v>
      </c>
      <c r="B12" s="9">
        <v>43288</v>
      </c>
      <c r="C12" s="7">
        <v>7</v>
      </c>
      <c r="D12">
        <v>1</v>
      </c>
      <c r="E12" t="s">
        <v>64</v>
      </c>
      <c r="F12" t="s">
        <v>61</v>
      </c>
      <c r="G12">
        <v>0</v>
      </c>
      <c r="H12" t="s">
        <v>149</v>
      </c>
      <c r="I12" s="8">
        <v>5</v>
      </c>
      <c r="J12">
        <v>2</v>
      </c>
      <c r="K12" s="8">
        <v>10</v>
      </c>
      <c r="L12" s="12">
        <v>0</v>
      </c>
      <c r="M12" s="8" t="s">
        <v>145</v>
      </c>
      <c r="N12" t="s">
        <v>130</v>
      </c>
      <c r="O12" s="12">
        <v>7</v>
      </c>
      <c r="P12" s="2">
        <v>2018</v>
      </c>
      <c r="Q12">
        <v>7</v>
      </c>
    </row>
    <row r="13" spans="1:18" x14ac:dyDescent="0.25">
      <c r="A13">
        <v>13</v>
      </c>
      <c r="B13" s="9">
        <v>43288</v>
      </c>
      <c r="C13" s="7">
        <v>7</v>
      </c>
      <c r="D13">
        <v>1</v>
      </c>
      <c r="E13" t="s">
        <v>64</v>
      </c>
      <c r="F13" t="s">
        <v>61</v>
      </c>
      <c r="G13">
        <v>0</v>
      </c>
      <c r="H13" t="s">
        <v>149</v>
      </c>
      <c r="I13" s="8">
        <v>5</v>
      </c>
      <c r="J13">
        <v>1</v>
      </c>
      <c r="K13" s="8">
        <v>5</v>
      </c>
      <c r="L13" s="12">
        <v>0</v>
      </c>
      <c r="M13" s="8" t="s">
        <v>145</v>
      </c>
      <c r="N13" t="s">
        <v>130</v>
      </c>
      <c r="O13" s="12">
        <v>7</v>
      </c>
      <c r="P13" s="2">
        <v>2018</v>
      </c>
      <c r="Q13">
        <v>7</v>
      </c>
    </row>
    <row r="14" spans="1:18" x14ac:dyDescent="0.25">
      <c r="A14">
        <v>14</v>
      </c>
      <c r="B14" s="9">
        <v>43288</v>
      </c>
      <c r="C14" s="7">
        <v>8</v>
      </c>
      <c r="D14">
        <v>1</v>
      </c>
      <c r="E14" t="s">
        <v>64</v>
      </c>
      <c r="F14" t="s">
        <v>61</v>
      </c>
      <c r="G14">
        <v>1</v>
      </c>
      <c r="H14" t="s">
        <v>58</v>
      </c>
      <c r="I14" s="8">
        <v>5</v>
      </c>
      <c r="J14">
        <v>1</v>
      </c>
      <c r="K14" s="8">
        <v>5</v>
      </c>
      <c r="L14" s="12">
        <v>1</v>
      </c>
      <c r="M14" s="8" t="s">
        <v>34</v>
      </c>
      <c r="N14" t="s">
        <v>103</v>
      </c>
      <c r="O14" s="12">
        <v>7</v>
      </c>
      <c r="P14" s="2">
        <v>2018</v>
      </c>
      <c r="Q14">
        <v>7</v>
      </c>
    </row>
    <row r="15" spans="1:18" x14ac:dyDescent="0.25">
      <c r="A15">
        <v>15</v>
      </c>
      <c r="B15" s="9">
        <v>43288</v>
      </c>
      <c r="C15" s="7">
        <v>9</v>
      </c>
      <c r="D15">
        <v>3</v>
      </c>
      <c r="E15" t="s">
        <v>65</v>
      </c>
      <c r="F15" t="s">
        <v>61</v>
      </c>
      <c r="G15">
        <v>2</v>
      </c>
      <c r="H15" t="s">
        <v>55</v>
      </c>
      <c r="I15" s="8">
        <v>5</v>
      </c>
      <c r="J15">
        <v>2</v>
      </c>
      <c r="K15" s="8">
        <v>10</v>
      </c>
      <c r="L15" s="12">
        <v>2</v>
      </c>
      <c r="M15" s="8" t="s">
        <v>35</v>
      </c>
      <c r="N15" t="s">
        <v>103</v>
      </c>
      <c r="O15" s="12">
        <v>7</v>
      </c>
      <c r="P15" s="2">
        <v>2018</v>
      </c>
      <c r="Q15">
        <v>7</v>
      </c>
    </row>
    <row r="16" spans="1:18" x14ac:dyDescent="0.25">
      <c r="A16">
        <v>16</v>
      </c>
      <c r="B16" s="9">
        <v>43288</v>
      </c>
      <c r="C16" s="7">
        <v>9</v>
      </c>
      <c r="D16">
        <v>3</v>
      </c>
      <c r="E16" t="s">
        <v>65</v>
      </c>
      <c r="F16" t="s">
        <v>61</v>
      </c>
      <c r="G16">
        <v>2</v>
      </c>
      <c r="H16" t="s">
        <v>55</v>
      </c>
      <c r="I16" s="8">
        <v>5</v>
      </c>
      <c r="J16">
        <v>1</v>
      </c>
      <c r="K16" s="8">
        <v>5</v>
      </c>
      <c r="L16" s="12">
        <v>2</v>
      </c>
      <c r="M16" s="8" t="s">
        <v>152</v>
      </c>
      <c r="N16" t="s">
        <v>103</v>
      </c>
      <c r="O16" s="12">
        <v>7</v>
      </c>
      <c r="P16" s="2">
        <v>2018</v>
      </c>
      <c r="Q16">
        <v>7</v>
      </c>
      <c r="R16" s="36">
        <v>0.95637731481481481</v>
      </c>
    </row>
    <row r="17" spans="1:18" x14ac:dyDescent="0.25">
      <c r="A17">
        <v>17</v>
      </c>
      <c r="B17" s="9">
        <v>43288</v>
      </c>
      <c r="C17" s="7">
        <v>9</v>
      </c>
      <c r="D17">
        <v>34</v>
      </c>
      <c r="E17" t="s">
        <v>92</v>
      </c>
      <c r="F17" t="s">
        <v>33</v>
      </c>
      <c r="G17">
        <v>2</v>
      </c>
      <c r="H17" t="s">
        <v>55</v>
      </c>
      <c r="I17" s="8">
        <v>20</v>
      </c>
      <c r="J17">
        <v>1</v>
      </c>
      <c r="K17" s="8">
        <v>20</v>
      </c>
      <c r="L17" s="12">
        <v>2</v>
      </c>
      <c r="M17" s="8" t="s">
        <v>152</v>
      </c>
      <c r="N17" t="s">
        <v>103</v>
      </c>
      <c r="O17" s="12">
        <v>7</v>
      </c>
      <c r="P17" s="2">
        <v>2018</v>
      </c>
      <c r="Q17">
        <v>7</v>
      </c>
      <c r="R17" s="36">
        <v>0.95670138888888889</v>
      </c>
    </row>
    <row r="18" spans="1:18" x14ac:dyDescent="0.25">
      <c r="A18">
        <v>18</v>
      </c>
      <c r="B18" s="9">
        <v>43288</v>
      </c>
      <c r="C18" s="7">
        <v>9</v>
      </c>
      <c r="D18">
        <v>5</v>
      </c>
      <c r="E18" t="s">
        <v>66</v>
      </c>
      <c r="F18" t="s">
        <v>61</v>
      </c>
      <c r="G18">
        <v>2</v>
      </c>
      <c r="H18" t="s">
        <v>55</v>
      </c>
      <c r="I18" s="8">
        <v>5</v>
      </c>
      <c r="J18">
        <v>2</v>
      </c>
      <c r="K18" s="8">
        <v>10</v>
      </c>
      <c r="L18" s="12">
        <v>2</v>
      </c>
      <c r="M18" s="8" t="s">
        <v>152</v>
      </c>
      <c r="N18" t="s">
        <v>103</v>
      </c>
      <c r="O18" s="12">
        <v>7</v>
      </c>
      <c r="P18" s="2">
        <v>2018</v>
      </c>
      <c r="Q18">
        <v>7</v>
      </c>
      <c r="R18" s="36">
        <v>0.9569212962962963</v>
      </c>
    </row>
    <row r="19" spans="1:18" x14ac:dyDescent="0.25">
      <c r="A19">
        <v>19</v>
      </c>
      <c r="B19" s="9">
        <v>43288</v>
      </c>
      <c r="C19" s="7">
        <v>10</v>
      </c>
      <c r="D19">
        <v>21</v>
      </c>
      <c r="E19" t="s">
        <v>80</v>
      </c>
      <c r="F19" t="s">
        <v>31</v>
      </c>
      <c r="G19">
        <v>5</v>
      </c>
      <c r="H19" t="s">
        <v>106</v>
      </c>
      <c r="I19" s="8">
        <v>4</v>
      </c>
      <c r="J19">
        <v>2</v>
      </c>
      <c r="K19" s="8">
        <v>8</v>
      </c>
      <c r="L19" s="12">
        <v>8</v>
      </c>
      <c r="M19" s="8" t="s">
        <v>41</v>
      </c>
      <c r="N19" t="s">
        <v>97</v>
      </c>
      <c r="O19" s="12">
        <v>7</v>
      </c>
      <c r="P19" s="2">
        <v>2018</v>
      </c>
      <c r="Q19">
        <v>9</v>
      </c>
      <c r="R19" s="36">
        <v>0.50494212962962959</v>
      </c>
    </row>
    <row r="20" spans="1:18" x14ac:dyDescent="0.25">
      <c r="A20">
        <v>20</v>
      </c>
      <c r="B20" s="9">
        <v>43288</v>
      </c>
      <c r="C20" s="7">
        <v>10</v>
      </c>
      <c r="D20">
        <v>3</v>
      </c>
      <c r="E20" t="s">
        <v>65</v>
      </c>
      <c r="F20" t="s">
        <v>61</v>
      </c>
      <c r="G20">
        <v>5</v>
      </c>
      <c r="H20" t="s">
        <v>106</v>
      </c>
      <c r="I20" s="8">
        <v>5</v>
      </c>
      <c r="J20">
        <v>1</v>
      </c>
      <c r="K20" s="8">
        <v>5</v>
      </c>
      <c r="L20" s="12">
        <v>8</v>
      </c>
      <c r="M20" s="8" t="s">
        <v>153</v>
      </c>
      <c r="N20" t="s">
        <v>97</v>
      </c>
      <c r="O20" s="12">
        <v>7</v>
      </c>
      <c r="P20" s="2">
        <v>2018</v>
      </c>
      <c r="Q20">
        <v>9</v>
      </c>
      <c r="R20" s="36">
        <v>0.50494212962962959</v>
      </c>
    </row>
    <row r="21" spans="1:18" x14ac:dyDescent="0.25">
      <c r="A21">
        <v>21</v>
      </c>
      <c r="B21" s="9">
        <v>43288</v>
      </c>
      <c r="C21" s="7">
        <v>11</v>
      </c>
      <c r="D21">
        <v>7</v>
      </c>
      <c r="E21" t="s">
        <v>138</v>
      </c>
      <c r="F21" t="s">
        <v>61</v>
      </c>
      <c r="G21">
        <v>0</v>
      </c>
      <c r="H21" t="s">
        <v>149</v>
      </c>
      <c r="I21" s="8">
        <v>7</v>
      </c>
      <c r="J21">
        <v>1</v>
      </c>
      <c r="K21" s="8">
        <v>7</v>
      </c>
      <c r="L21" s="12">
        <v>0</v>
      </c>
      <c r="M21" s="8" t="s">
        <v>145</v>
      </c>
      <c r="N21" t="s">
        <v>130</v>
      </c>
      <c r="O21" s="12">
        <v>7</v>
      </c>
      <c r="P21" s="2">
        <v>2018</v>
      </c>
      <c r="Q21">
        <v>7</v>
      </c>
    </row>
    <row r="22" spans="1:18" x14ac:dyDescent="0.25">
      <c r="A22">
        <v>22</v>
      </c>
      <c r="B22" s="9">
        <v>43288</v>
      </c>
      <c r="C22" s="7">
        <v>12</v>
      </c>
      <c r="D22">
        <v>5</v>
      </c>
      <c r="E22" t="s">
        <v>66</v>
      </c>
      <c r="F22" t="s">
        <v>61</v>
      </c>
      <c r="G22">
        <v>0</v>
      </c>
      <c r="H22" t="s">
        <v>149</v>
      </c>
      <c r="I22" s="8">
        <v>5</v>
      </c>
      <c r="J22">
        <v>2</v>
      </c>
      <c r="K22" s="8">
        <v>10</v>
      </c>
      <c r="L22" s="12">
        <v>0</v>
      </c>
      <c r="M22" s="8" t="s">
        <v>145</v>
      </c>
      <c r="N22" t="s">
        <v>97</v>
      </c>
      <c r="O22" s="12">
        <v>7</v>
      </c>
      <c r="P22" s="2">
        <v>2018</v>
      </c>
      <c r="Q22">
        <v>7</v>
      </c>
      <c r="R22" s="36">
        <v>0.95980324074074075</v>
      </c>
    </row>
    <row r="23" spans="1:18" x14ac:dyDescent="0.25">
      <c r="A23">
        <v>23</v>
      </c>
      <c r="B23" s="9">
        <v>43288</v>
      </c>
      <c r="C23" s="7">
        <v>13</v>
      </c>
      <c r="D23">
        <v>3</v>
      </c>
      <c r="E23" t="s">
        <v>65</v>
      </c>
      <c r="F23" t="s">
        <v>61</v>
      </c>
      <c r="G23">
        <v>0</v>
      </c>
      <c r="H23" t="s">
        <v>149</v>
      </c>
      <c r="I23" s="8">
        <v>5</v>
      </c>
      <c r="J23">
        <v>2</v>
      </c>
      <c r="K23" s="8">
        <v>10</v>
      </c>
      <c r="L23" s="12">
        <v>0</v>
      </c>
      <c r="M23" s="8" t="s">
        <v>145</v>
      </c>
      <c r="N23" t="s">
        <v>97</v>
      </c>
      <c r="O23" s="12">
        <v>7</v>
      </c>
      <c r="P23" s="2">
        <v>2018</v>
      </c>
      <c r="Q23">
        <v>7</v>
      </c>
      <c r="R23" s="36">
        <v>0.96013888888888888</v>
      </c>
    </row>
    <row r="24" spans="1:18" x14ac:dyDescent="0.25">
      <c r="A24">
        <v>24</v>
      </c>
      <c r="B24" s="9">
        <v>43288</v>
      </c>
      <c r="C24" s="7">
        <v>11</v>
      </c>
      <c r="D24">
        <v>7</v>
      </c>
      <c r="E24" t="s">
        <v>138</v>
      </c>
      <c r="F24" t="s">
        <v>61</v>
      </c>
      <c r="G24">
        <v>0</v>
      </c>
      <c r="H24" t="s">
        <v>149</v>
      </c>
      <c r="I24" s="8">
        <v>7</v>
      </c>
      <c r="J24">
        <v>2</v>
      </c>
      <c r="K24" s="8">
        <v>14</v>
      </c>
      <c r="L24" s="12">
        <v>0</v>
      </c>
      <c r="M24" s="8" t="s">
        <v>145</v>
      </c>
      <c r="N24" t="s">
        <v>130</v>
      </c>
      <c r="O24" s="12">
        <v>7</v>
      </c>
      <c r="P24" s="2">
        <v>2018</v>
      </c>
      <c r="Q24">
        <v>7</v>
      </c>
      <c r="R24" s="36">
        <v>0.96091435185185192</v>
      </c>
    </row>
    <row r="25" spans="1:18" x14ac:dyDescent="0.25">
      <c r="A25">
        <v>25</v>
      </c>
      <c r="B25" s="9">
        <v>43289</v>
      </c>
      <c r="C25" s="7">
        <v>14</v>
      </c>
      <c r="D25">
        <v>6</v>
      </c>
      <c r="E25" t="s">
        <v>76</v>
      </c>
      <c r="F25" t="s">
        <v>61</v>
      </c>
      <c r="G25">
        <v>0</v>
      </c>
      <c r="H25" t="s">
        <v>149</v>
      </c>
      <c r="I25" s="8">
        <v>7</v>
      </c>
      <c r="J25">
        <v>2</v>
      </c>
      <c r="K25" s="8">
        <v>14</v>
      </c>
      <c r="L25" s="12">
        <v>0</v>
      </c>
      <c r="M25" s="8" t="s">
        <v>145</v>
      </c>
      <c r="N25" t="s">
        <v>97</v>
      </c>
      <c r="O25" s="12">
        <v>7</v>
      </c>
      <c r="P25" s="2">
        <v>2018</v>
      </c>
      <c r="Q25">
        <v>8</v>
      </c>
      <c r="R25" s="36">
        <v>0.38069444444444445</v>
      </c>
    </row>
    <row r="26" spans="1:18" x14ac:dyDescent="0.25">
      <c r="A26">
        <v>26</v>
      </c>
      <c r="B26" s="9">
        <v>43870</v>
      </c>
      <c r="C26" s="7">
        <v>16</v>
      </c>
      <c r="D26">
        <v>6</v>
      </c>
      <c r="E26" t="s">
        <v>76</v>
      </c>
      <c r="F26" t="s">
        <v>61</v>
      </c>
      <c r="G26">
        <v>0</v>
      </c>
      <c r="H26" t="s">
        <v>149</v>
      </c>
      <c r="I26" s="8">
        <v>7</v>
      </c>
      <c r="J26">
        <v>4</v>
      </c>
      <c r="K26" s="8">
        <v>28</v>
      </c>
      <c r="L26" s="12">
        <v>0</v>
      </c>
      <c r="M26" s="8" t="s">
        <v>145</v>
      </c>
      <c r="N26" t="s">
        <v>97</v>
      </c>
      <c r="O26" s="12">
        <v>2</v>
      </c>
      <c r="P26" s="2">
        <v>2020</v>
      </c>
      <c r="Q26">
        <v>9</v>
      </c>
      <c r="R26" s="36">
        <v>0.49612268518518521</v>
      </c>
    </row>
    <row r="27" spans="1:18" x14ac:dyDescent="0.25">
      <c r="A27">
        <v>27</v>
      </c>
      <c r="B27" s="9">
        <v>43870</v>
      </c>
      <c r="C27" s="7">
        <v>17</v>
      </c>
      <c r="D27">
        <v>6</v>
      </c>
      <c r="E27" t="s">
        <v>76</v>
      </c>
      <c r="F27" t="s">
        <v>61</v>
      </c>
      <c r="G27">
        <v>2</v>
      </c>
      <c r="H27" t="s">
        <v>55</v>
      </c>
      <c r="I27" s="8">
        <v>7</v>
      </c>
      <c r="J27">
        <v>2</v>
      </c>
      <c r="K27" s="8">
        <v>14</v>
      </c>
      <c r="L27" s="12">
        <v>4</v>
      </c>
      <c r="M27" s="8" t="s">
        <v>37</v>
      </c>
      <c r="N27" t="s">
        <v>97</v>
      </c>
      <c r="O27" s="12">
        <v>2</v>
      </c>
      <c r="P27" s="2">
        <v>2020</v>
      </c>
      <c r="Q27">
        <v>9</v>
      </c>
      <c r="R27" s="36">
        <v>0.49896990740740743</v>
      </c>
    </row>
    <row r="28" spans="1:18" x14ac:dyDescent="0.25">
      <c r="A28">
        <v>28</v>
      </c>
      <c r="B28" s="9">
        <v>43870</v>
      </c>
      <c r="C28" s="7">
        <v>17</v>
      </c>
      <c r="D28">
        <v>22</v>
      </c>
      <c r="E28" t="s">
        <v>73</v>
      </c>
      <c r="F28" t="s">
        <v>63</v>
      </c>
      <c r="G28">
        <v>2</v>
      </c>
      <c r="H28" t="s">
        <v>55</v>
      </c>
      <c r="I28" s="8">
        <v>15</v>
      </c>
      <c r="J28">
        <v>2</v>
      </c>
      <c r="K28" s="8">
        <v>30</v>
      </c>
      <c r="L28" s="12">
        <v>4</v>
      </c>
      <c r="M28" s="8" t="s">
        <v>37</v>
      </c>
      <c r="N28" t="s">
        <v>97</v>
      </c>
      <c r="O28" s="12">
        <v>2</v>
      </c>
      <c r="P28" s="2">
        <v>2020</v>
      </c>
      <c r="Q28">
        <v>9</v>
      </c>
      <c r="R28" s="36">
        <v>0.49896990740740743</v>
      </c>
    </row>
    <row r="29" spans="1:18" x14ac:dyDescent="0.25">
      <c r="A29">
        <v>29</v>
      </c>
      <c r="B29" s="9">
        <v>43870</v>
      </c>
      <c r="C29" s="7">
        <v>17</v>
      </c>
      <c r="D29">
        <v>7</v>
      </c>
      <c r="E29" t="s">
        <v>138</v>
      </c>
      <c r="F29" t="s">
        <v>61</v>
      </c>
      <c r="G29">
        <v>2</v>
      </c>
      <c r="H29" t="s">
        <v>55</v>
      </c>
      <c r="I29" s="8">
        <v>7</v>
      </c>
      <c r="J29">
        <v>2</v>
      </c>
      <c r="K29" s="8">
        <v>14</v>
      </c>
      <c r="L29" s="12">
        <v>4</v>
      </c>
      <c r="M29" s="8" t="s">
        <v>37</v>
      </c>
      <c r="N29" t="s">
        <v>97</v>
      </c>
      <c r="O29" s="12">
        <v>2</v>
      </c>
      <c r="P29" s="2">
        <v>2020</v>
      </c>
      <c r="Q29">
        <v>9</v>
      </c>
      <c r="R29" s="36">
        <v>0.49896990740740743</v>
      </c>
    </row>
    <row r="30" spans="1:18" x14ac:dyDescent="0.25">
      <c r="A30">
        <v>30</v>
      </c>
      <c r="B30" s="9">
        <v>43870</v>
      </c>
      <c r="C30" s="7">
        <v>17</v>
      </c>
      <c r="D30">
        <v>1</v>
      </c>
      <c r="E30" t="s">
        <v>64</v>
      </c>
      <c r="F30" t="s">
        <v>61</v>
      </c>
      <c r="G30">
        <v>2</v>
      </c>
      <c r="H30" t="s">
        <v>55</v>
      </c>
      <c r="I30" s="8">
        <v>5</v>
      </c>
      <c r="J30">
        <v>1</v>
      </c>
      <c r="K30" s="8">
        <v>5</v>
      </c>
      <c r="L30" s="12">
        <v>4</v>
      </c>
      <c r="M30" s="8" t="s">
        <v>37</v>
      </c>
      <c r="N30" t="s">
        <v>97</v>
      </c>
      <c r="O30" s="12">
        <v>2</v>
      </c>
      <c r="P30" s="2">
        <v>2020</v>
      </c>
      <c r="Q30">
        <v>9</v>
      </c>
      <c r="R30" s="36">
        <v>0.49896990740740743</v>
      </c>
    </row>
    <row r="31" spans="1:18" x14ac:dyDescent="0.25">
      <c r="A31">
        <v>31</v>
      </c>
      <c r="B31" s="9">
        <v>43870</v>
      </c>
      <c r="C31" s="7">
        <v>15</v>
      </c>
      <c r="D31">
        <v>39</v>
      </c>
      <c r="E31" t="s">
        <v>143</v>
      </c>
      <c r="F31" t="s">
        <v>33</v>
      </c>
      <c r="G31">
        <v>0</v>
      </c>
      <c r="H31" t="s">
        <v>149</v>
      </c>
      <c r="I31" s="8">
        <v>15</v>
      </c>
      <c r="J31">
        <v>1</v>
      </c>
      <c r="K31" s="8">
        <v>15</v>
      </c>
      <c r="L31" s="12">
        <v>0</v>
      </c>
      <c r="M31" s="8" t="s">
        <v>145</v>
      </c>
      <c r="N31" t="s">
        <v>130</v>
      </c>
      <c r="O31" s="12">
        <v>2</v>
      </c>
      <c r="P31" s="2">
        <v>2020</v>
      </c>
      <c r="Q31">
        <v>9</v>
      </c>
      <c r="R31" s="36">
        <v>0.49998842592592596</v>
      </c>
    </row>
    <row r="32" spans="1:18" x14ac:dyDescent="0.25">
      <c r="A32">
        <v>32</v>
      </c>
      <c r="B32" s="9">
        <v>43870</v>
      </c>
      <c r="C32" s="7">
        <v>15</v>
      </c>
      <c r="D32">
        <v>5</v>
      </c>
      <c r="E32" t="s">
        <v>66</v>
      </c>
      <c r="F32" t="s">
        <v>61</v>
      </c>
      <c r="G32">
        <v>0</v>
      </c>
      <c r="H32" t="s">
        <v>149</v>
      </c>
      <c r="I32" s="8">
        <v>5</v>
      </c>
      <c r="J32">
        <v>1</v>
      </c>
      <c r="K32" s="8">
        <v>5</v>
      </c>
      <c r="L32" s="12">
        <v>0</v>
      </c>
      <c r="M32" s="8" t="s">
        <v>145</v>
      </c>
      <c r="N32" t="s">
        <v>130</v>
      </c>
      <c r="O32" s="12">
        <v>2</v>
      </c>
      <c r="P32" s="2">
        <v>2020</v>
      </c>
      <c r="Q32">
        <v>9</v>
      </c>
      <c r="R32" s="36">
        <v>0.50020833333333337</v>
      </c>
    </row>
    <row r="33" spans="1:18" x14ac:dyDescent="0.25">
      <c r="A33">
        <v>33</v>
      </c>
      <c r="B33" s="9">
        <v>43870</v>
      </c>
      <c r="C33" s="7">
        <v>18</v>
      </c>
      <c r="D33">
        <v>1</v>
      </c>
      <c r="E33" t="s">
        <v>64</v>
      </c>
      <c r="F33" t="s">
        <v>61</v>
      </c>
      <c r="G33">
        <v>4</v>
      </c>
      <c r="H33" t="s">
        <v>60</v>
      </c>
      <c r="I33" s="8">
        <v>5</v>
      </c>
      <c r="J33">
        <v>5</v>
      </c>
      <c r="K33" s="8">
        <v>25</v>
      </c>
      <c r="L33" s="12">
        <v>6</v>
      </c>
      <c r="M33" s="8" t="s">
        <v>39</v>
      </c>
      <c r="N33" t="s">
        <v>103</v>
      </c>
      <c r="O33" s="12">
        <v>2</v>
      </c>
      <c r="P33" s="2">
        <v>2020</v>
      </c>
    </row>
    <row r="34" spans="1:18" x14ac:dyDescent="0.25">
      <c r="A34">
        <v>34</v>
      </c>
      <c r="B34" s="9">
        <v>43870</v>
      </c>
      <c r="C34" s="7">
        <v>19</v>
      </c>
      <c r="D34">
        <v>40</v>
      </c>
      <c r="E34" t="s">
        <v>133</v>
      </c>
      <c r="F34" t="s">
        <v>134</v>
      </c>
      <c r="G34">
        <v>0</v>
      </c>
      <c r="H34" t="s">
        <v>149</v>
      </c>
      <c r="I34" s="8">
        <v>15</v>
      </c>
      <c r="J34">
        <v>2</v>
      </c>
      <c r="K34" s="8">
        <v>30</v>
      </c>
      <c r="L34" s="12">
        <v>0</v>
      </c>
      <c r="M34" s="8" t="s">
        <v>145</v>
      </c>
      <c r="N34" t="s">
        <v>97</v>
      </c>
      <c r="O34" s="12">
        <v>2</v>
      </c>
      <c r="P34" s="2">
        <v>2020</v>
      </c>
      <c r="Q34">
        <v>9</v>
      </c>
      <c r="R34" s="36">
        <v>0.50383101851851853</v>
      </c>
    </row>
    <row r="35" spans="1:18" x14ac:dyDescent="0.25">
      <c r="A35">
        <v>35</v>
      </c>
      <c r="B35" s="9">
        <v>43870</v>
      </c>
      <c r="C35" s="7">
        <v>15</v>
      </c>
      <c r="D35">
        <v>5</v>
      </c>
      <c r="E35" t="s">
        <v>66</v>
      </c>
      <c r="F35" t="s">
        <v>61</v>
      </c>
      <c r="G35">
        <v>0</v>
      </c>
      <c r="H35" t="s">
        <v>149</v>
      </c>
      <c r="I35" s="8">
        <v>5</v>
      </c>
      <c r="J35">
        <v>1</v>
      </c>
      <c r="K35" s="8">
        <v>5</v>
      </c>
      <c r="L35" s="12">
        <v>0</v>
      </c>
      <c r="M35" s="8" t="s">
        <v>145</v>
      </c>
      <c r="N35" t="s">
        <v>130</v>
      </c>
      <c r="O35" s="12">
        <v>2</v>
      </c>
      <c r="P35" s="2">
        <v>2020</v>
      </c>
      <c r="Q35">
        <v>9</v>
      </c>
      <c r="R35" s="36">
        <v>0.50432870370370375</v>
      </c>
    </row>
    <row r="36" spans="1:18" x14ac:dyDescent="0.25">
      <c r="A36">
        <v>36</v>
      </c>
      <c r="B36" s="9">
        <v>43870</v>
      </c>
      <c r="C36" s="7">
        <v>7</v>
      </c>
      <c r="D36">
        <v>33</v>
      </c>
      <c r="E36" t="s">
        <v>91</v>
      </c>
      <c r="F36" t="s">
        <v>33</v>
      </c>
      <c r="G36">
        <v>0</v>
      </c>
      <c r="H36" t="s">
        <v>149</v>
      </c>
      <c r="I36" s="8">
        <v>50</v>
      </c>
      <c r="J36">
        <v>1</v>
      </c>
      <c r="K36" s="8">
        <v>50</v>
      </c>
      <c r="L36" s="12">
        <v>0</v>
      </c>
      <c r="M36" s="8" t="s">
        <v>145</v>
      </c>
      <c r="N36" t="s">
        <v>130</v>
      </c>
      <c r="O36" s="12">
        <v>2</v>
      </c>
      <c r="P36" s="2">
        <v>2020</v>
      </c>
      <c r="Q36">
        <v>9</v>
      </c>
      <c r="R36" s="36">
        <v>0.50446759259259266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Q20"/>
  <sheetViews>
    <sheetView zoomScale="80" zoomScaleNormal="80" workbookViewId="0">
      <pane ySplit="1" topLeftCell="A2" activePane="bottomLeft" state="frozen"/>
      <selection activeCell="C1" sqref="C1"/>
      <selection pane="bottomLeft" activeCell="E22" sqref="E22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2.28515625" style="14" customWidth="1"/>
    <col min="4" max="4" width="16.140625" style="16" customWidth="1"/>
    <col min="5" max="5" width="18.140625" customWidth="1"/>
    <col min="6" max="6" width="23.7109375" customWidth="1"/>
    <col min="7" max="7" width="6.140625" style="15" bestFit="1" customWidth="1"/>
    <col min="8" max="8" width="14.42578125" style="18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9" customWidth="1"/>
    <col min="14" max="14" width="6.7109375" style="2" customWidth="1"/>
    <col min="15" max="15" width="10.85546875" style="12" customWidth="1"/>
    <col min="16" max="16" width="13.5703125" style="21" customWidth="1"/>
    <col min="17" max="17" width="18.28515625" bestFit="1" customWidth="1"/>
  </cols>
  <sheetData>
    <row r="1" spans="1:17" s="35" customFormat="1" ht="30" x14ac:dyDescent="0.25">
      <c r="A1" s="24" t="s">
        <v>20</v>
      </c>
      <c r="B1" s="25" t="s">
        <v>100</v>
      </c>
      <c r="C1" s="26" t="s">
        <v>17</v>
      </c>
      <c r="D1" s="23" t="s">
        <v>132</v>
      </c>
      <c r="E1" s="26" t="s">
        <v>25</v>
      </c>
      <c r="F1" s="27" t="s">
        <v>104</v>
      </c>
      <c r="G1" s="28" t="s">
        <v>105</v>
      </c>
      <c r="H1" s="29" t="s">
        <v>107</v>
      </c>
      <c r="I1" s="30" t="s">
        <v>110</v>
      </c>
      <c r="J1" s="31" t="s">
        <v>109</v>
      </c>
      <c r="K1" s="31" t="s">
        <v>111</v>
      </c>
      <c r="L1" s="27" t="s">
        <v>108</v>
      </c>
      <c r="M1" s="32" t="s">
        <v>112</v>
      </c>
      <c r="N1" s="33" t="s">
        <v>117</v>
      </c>
      <c r="O1" s="24" t="s">
        <v>101</v>
      </c>
      <c r="P1" s="34" t="s">
        <v>129</v>
      </c>
      <c r="Q1" s="34" t="s">
        <v>131</v>
      </c>
    </row>
    <row r="2" spans="1:17" x14ac:dyDescent="0.25">
      <c r="A2" s="12">
        <v>1</v>
      </c>
      <c r="B2" s="13">
        <v>0</v>
      </c>
      <c r="C2" s="14" t="s">
        <v>144</v>
      </c>
      <c r="D2" s="16">
        <f>SUMIFS(FLUXOVENDA!K:K,FLUXOVENDA!C:C,CODVENDA!A2,FLUXOVENDA!N:N,CONFIG!$G$5)</f>
        <v>0</v>
      </c>
      <c r="E2" t="s">
        <v>146</v>
      </c>
      <c r="F2" t="s">
        <v>145</v>
      </c>
      <c r="G2" s="15">
        <v>1.6701388888888887E-2</v>
      </c>
      <c r="I2" t="s">
        <v>147</v>
      </c>
      <c r="J2" s="8">
        <v>0</v>
      </c>
      <c r="K2" s="8">
        <v>5</v>
      </c>
      <c r="L2" t="s">
        <v>119</v>
      </c>
      <c r="M2" s="19">
        <v>42879</v>
      </c>
      <c r="N2" s="2">
        <v>24</v>
      </c>
      <c r="O2" s="12">
        <v>5</v>
      </c>
      <c r="P2" s="21">
        <v>5</v>
      </c>
      <c r="Q2" t="s">
        <v>106</v>
      </c>
    </row>
    <row r="3" spans="1:17" x14ac:dyDescent="0.25">
      <c r="A3" s="12">
        <v>2</v>
      </c>
      <c r="B3" s="13">
        <v>0</v>
      </c>
      <c r="C3" s="14" t="s">
        <v>144</v>
      </c>
      <c r="D3" s="16">
        <f>SUMIFS(FLUXOVENDA!K:K,FLUXOVENDA!C:C,CODVENDA!A3,FLUXOVENDA!N:N,CONFIG!$G$5)</f>
        <v>0</v>
      </c>
      <c r="E3" t="s">
        <v>146</v>
      </c>
      <c r="F3" t="s">
        <v>144</v>
      </c>
      <c r="G3" s="15">
        <v>0.79616898148148152</v>
      </c>
      <c r="I3" t="s">
        <v>147</v>
      </c>
      <c r="J3" s="8">
        <v>0</v>
      </c>
      <c r="K3" s="8">
        <v>35</v>
      </c>
      <c r="L3" t="s">
        <v>119</v>
      </c>
      <c r="M3" s="19">
        <v>43288</v>
      </c>
      <c r="N3" s="2">
        <v>7</v>
      </c>
      <c r="O3" s="12">
        <v>7</v>
      </c>
      <c r="P3" s="21">
        <v>35</v>
      </c>
      <c r="Q3" t="s">
        <v>148</v>
      </c>
    </row>
    <row r="4" spans="1:17" x14ac:dyDescent="0.25">
      <c r="A4" s="12">
        <v>3</v>
      </c>
      <c r="B4" s="13">
        <v>0</v>
      </c>
      <c r="C4" s="14" t="s">
        <v>145</v>
      </c>
      <c r="D4" s="16">
        <f>SUMIFS(FLUXOVENDA!K:K,FLUXOVENDA!C:C,CODVENDA!A4,FLUXOVENDA!N:N,CONFIG!$G$5)</f>
        <v>0</v>
      </c>
      <c r="E4" t="s">
        <v>146</v>
      </c>
      <c r="F4" t="s">
        <v>145</v>
      </c>
      <c r="G4" s="15">
        <v>0.79701388888888891</v>
      </c>
      <c r="I4" t="s">
        <v>147</v>
      </c>
      <c r="J4" s="8">
        <v>0</v>
      </c>
      <c r="K4" s="8">
        <v>28</v>
      </c>
      <c r="L4" t="s">
        <v>119</v>
      </c>
      <c r="M4" s="19">
        <v>43288</v>
      </c>
      <c r="N4" s="2">
        <v>7</v>
      </c>
      <c r="O4" s="12">
        <v>7</v>
      </c>
      <c r="P4" s="21">
        <v>28</v>
      </c>
    </row>
    <row r="5" spans="1:17" x14ac:dyDescent="0.25">
      <c r="A5" s="12">
        <v>4</v>
      </c>
      <c r="B5" s="13">
        <v>1</v>
      </c>
      <c r="C5" s="14" t="s">
        <v>34</v>
      </c>
      <c r="D5" s="16">
        <f>SUMIFS(FLUXOVENDA!K:K,FLUXOVENDA!C:C,CODVENDA!A5,FLUXOVENDA!N:N,CONFIG!$G$2)</f>
        <v>0</v>
      </c>
      <c r="E5" t="s">
        <v>146</v>
      </c>
      <c r="F5" t="s">
        <v>55</v>
      </c>
      <c r="G5" s="15">
        <v>0.79812500000000008</v>
      </c>
      <c r="H5" s="18">
        <v>0.79839120370370376</v>
      </c>
      <c r="I5" t="s">
        <v>151</v>
      </c>
      <c r="J5" s="8">
        <v>3.3</v>
      </c>
      <c r="K5" s="8">
        <v>36.299999999999997</v>
      </c>
      <c r="L5" t="s">
        <v>126</v>
      </c>
      <c r="M5" s="19">
        <v>43288</v>
      </c>
      <c r="N5" s="2">
        <v>7</v>
      </c>
      <c r="O5" s="12">
        <v>7</v>
      </c>
      <c r="P5" s="21">
        <v>33</v>
      </c>
      <c r="Q5" t="s">
        <v>106</v>
      </c>
    </row>
    <row r="6" spans="1:17" x14ac:dyDescent="0.25">
      <c r="A6" s="12">
        <v>5</v>
      </c>
      <c r="B6" s="13">
        <v>4</v>
      </c>
      <c r="C6" s="14" t="s">
        <v>37</v>
      </c>
      <c r="D6" s="16">
        <f>SUMIFS(FLUXOVENDA!K:K,FLUXOVENDA!C:C,CODVENDA!A6,FLUXOVENDA!N:N,CONFIG!$G$2)</f>
        <v>0</v>
      </c>
      <c r="E6" t="s">
        <v>146</v>
      </c>
      <c r="F6" t="s">
        <v>58</v>
      </c>
      <c r="G6" s="15">
        <v>0.79925925925925922</v>
      </c>
      <c r="I6" t="s">
        <v>147</v>
      </c>
      <c r="J6" s="8">
        <v>0</v>
      </c>
      <c r="K6" s="8">
        <v>10</v>
      </c>
      <c r="L6" t="s">
        <v>119</v>
      </c>
      <c r="M6" s="19">
        <v>43288</v>
      </c>
      <c r="N6" s="2">
        <v>7</v>
      </c>
      <c r="O6" s="12">
        <v>7</v>
      </c>
      <c r="P6" s="21">
        <v>10</v>
      </c>
    </row>
    <row r="7" spans="1:17" x14ac:dyDescent="0.25">
      <c r="A7" s="12">
        <v>6</v>
      </c>
      <c r="B7" s="13">
        <v>0</v>
      </c>
      <c r="C7" s="14" t="s">
        <v>145</v>
      </c>
      <c r="D7" s="16">
        <f>SUMIFS(FLUXOVENDA!K:K,FLUXOVENDA!C:C,CODVENDA!A7,FLUXOVENDA!N:N,CONFIG!$G$5)</f>
        <v>0</v>
      </c>
      <c r="E7" t="s">
        <v>146</v>
      </c>
      <c r="F7" t="s">
        <v>145</v>
      </c>
      <c r="G7" s="15">
        <v>0.87729166666666669</v>
      </c>
      <c r="I7" t="s">
        <v>151</v>
      </c>
      <c r="J7" s="8">
        <v>0.5</v>
      </c>
      <c r="K7" s="8">
        <v>5.5</v>
      </c>
      <c r="L7" t="s">
        <v>119</v>
      </c>
      <c r="M7" s="19">
        <v>43288</v>
      </c>
      <c r="N7" s="2">
        <v>7</v>
      </c>
      <c r="O7" s="12">
        <v>7</v>
      </c>
      <c r="P7" s="21">
        <v>5</v>
      </c>
    </row>
    <row r="8" spans="1:17" x14ac:dyDescent="0.25">
      <c r="A8" s="12">
        <v>7</v>
      </c>
      <c r="B8" s="13">
        <v>0</v>
      </c>
      <c r="C8" s="14" t="s">
        <v>145</v>
      </c>
      <c r="D8" s="16">
        <f>SUMIFS(FLUXOVENDA!K:K,FLUXOVENDA!C:C,CODVENDA!A8,FLUXOVENDA!N:N,CONFIG!$G$5)</f>
        <v>65</v>
      </c>
      <c r="E8" t="s">
        <v>130</v>
      </c>
      <c r="F8" t="s">
        <v>145</v>
      </c>
      <c r="G8" s="15">
        <v>0.94582175925925915</v>
      </c>
      <c r="H8" s="18">
        <v>0.50446759259259266</v>
      </c>
      <c r="P8" s="21">
        <f ca="1">SUMIFS(FLUXOVENDA!W:W,FLUXOVENDA!O:O,CODVENDA!M8,FLUXOVENDA!Z:Z,CONFIG!$G$3)</f>
        <v>0</v>
      </c>
      <c r="Q8" t="s">
        <v>106</v>
      </c>
    </row>
    <row r="9" spans="1:17" x14ac:dyDescent="0.25">
      <c r="A9" s="12">
        <v>8</v>
      </c>
      <c r="B9" s="13">
        <v>1</v>
      </c>
      <c r="C9" s="14" t="s">
        <v>34</v>
      </c>
      <c r="D9" s="16">
        <f>SUMIFS(FLUXOVENDA!K:K,FLUXOVENDA!C:C,CODVENDA!A9,FLUXOVENDA!N:N,CONFIG!$G$2)</f>
        <v>5</v>
      </c>
      <c r="E9" t="s">
        <v>103</v>
      </c>
      <c r="F9" t="s">
        <v>58</v>
      </c>
      <c r="G9" s="15">
        <v>0.94597222222222221</v>
      </c>
      <c r="P9" s="21">
        <f ca="1">SUMIFS(FLUXOVENDA!W:W,FLUXOVENDA!O:O,CODVENDA!M9,FLUXOVENDA!Z:Z,CONFIG!$G$3)</f>
        <v>0</v>
      </c>
    </row>
    <row r="10" spans="1:17" x14ac:dyDescent="0.25">
      <c r="A10" s="12">
        <v>9</v>
      </c>
      <c r="B10" s="13">
        <v>2</v>
      </c>
      <c r="C10" s="14" t="s">
        <v>35</v>
      </c>
      <c r="D10" s="16">
        <f>SUMIFS(FLUXOVENDA!K:K,FLUXOVENDA!C:C,CODVENDA!A10,FLUXOVENDA!N:N,CONFIG!$G$2)</f>
        <v>45</v>
      </c>
      <c r="E10" t="s">
        <v>103</v>
      </c>
      <c r="F10" t="s">
        <v>55</v>
      </c>
      <c r="G10" s="15">
        <v>0.95622685185185186</v>
      </c>
      <c r="H10" s="18">
        <v>0.9569212962962963</v>
      </c>
      <c r="P10" s="21">
        <f ca="1">SUMIFS(FLUXOVENDA!W:W,FLUXOVENDA!O:O,CODVENDA!M10,FLUXOVENDA!Z:Z,CONFIG!$G$3)</f>
        <v>0</v>
      </c>
    </row>
    <row r="11" spans="1:17" x14ac:dyDescent="0.25">
      <c r="A11" s="12">
        <v>10</v>
      </c>
      <c r="B11" s="13">
        <v>8</v>
      </c>
      <c r="C11" s="14" t="s">
        <v>41</v>
      </c>
      <c r="D11" s="16">
        <f>SUMIFS(FLUXOVENDA!K:K,FLUXOVENDA!C:C,CODVENDA!A11,FLUXOVENDA!N:N,CONFIG!$G$2)</f>
        <v>0</v>
      </c>
      <c r="E11" t="s">
        <v>146</v>
      </c>
      <c r="F11" t="s">
        <v>106</v>
      </c>
      <c r="G11" s="15">
        <v>0.95784722222222218</v>
      </c>
      <c r="H11" s="18">
        <v>0.95805555555555555</v>
      </c>
      <c r="I11" t="s">
        <v>151</v>
      </c>
      <c r="J11" s="8">
        <v>1.3</v>
      </c>
      <c r="K11" s="8">
        <v>14.3</v>
      </c>
      <c r="L11" t="s">
        <v>119</v>
      </c>
      <c r="M11" s="19">
        <v>43870</v>
      </c>
      <c r="N11" s="2">
        <v>9</v>
      </c>
      <c r="O11" s="12">
        <v>2</v>
      </c>
      <c r="P11" s="21">
        <v>13</v>
      </c>
    </row>
    <row r="12" spans="1:17" x14ac:dyDescent="0.25">
      <c r="A12" s="12">
        <v>11</v>
      </c>
      <c r="B12" s="13">
        <v>0</v>
      </c>
      <c r="C12" s="14" t="s">
        <v>145</v>
      </c>
      <c r="D12" s="16">
        <f>SUMIFS(FLUXOVENDA!K:K,FLUXOVENDA!C:C,CODVENDA!A12,FLUXOVENDA!N:N,CONFIG!$G$5)</f>
        <v>21</v>
      </c>
      <c r="E12" t="s">
        <v>130</v>
      </c>
      <c r="F12" t="s">
        <v>145</v>
      </c>
      <c r="G12" s="15">
        <v>0.95953703703703708</v>
      </c>
      <c r="H12" s="18">
        <v>0.96091435185185192</v>
      </c>
      <c r="P12" s="21">
        <f ca="1">SUMIFS(FLUXOVENDA!W:W,FLUXOVENDA!O:O,CODVENDA!M12,FLUXOVENDA!Z:Z,CONFIG!$G$3)</f>
        <v>0</v>
      </c>
      <c r="Q12" t="s">
        <v>106</v>
      </c>
    </row>
    <row r="13" spans="1:17" x14ac:dyDescent="0.25">
      <c r="A13" s="12">
        <v>12</v>
      </c>
      <c r="B13" s="13">
        <v>0</v>
      </c>
      <c r="C13" s="14" t="s">
        <v>145</v>
      </c>
      <c r="D13" s="16">
        <f>SUMIFS(FLUXOVENDA!K:K,FLUXOVENDA!C:C,CODVENDA!A13,FLUXOVENDA!N:N,CONFIG!$G$5)</f>
        <v>0</v>
      </c>
      <c r="E13" t="s">
        <v>146</v>
      </c>
      <c r="F13" t="s">
        <v>145</v>
      </c>
      <c r="G13" s="15">
        <v>0.95980324074074075</v>
      </c>
      <c r="I13" t="s">
        <v>147</v>
      </c>
      <c r="J13" s="8">
        <v>0</v>
      </c>
      <c r="K13" s="8">
        <v>10</v>
      </c>
      <c r="L13" t="s">
        <v>120</v>
      </c>
      <c r="M13" s="19">
        <v>43288</v>
      </c>
      <c r="N13" s="2">
        <v>7</v>
      </c>
      <c r="O13" s="12">
        <v>7</v>
      </c>
      <c r="P13" s="21">
        <v>10</v>
      </c>
    </row>
    <row r="14" spans="1:17" x14ac:dyDescent="0.25">
      <c r="A14" s="12">
        <v>13</v>
      </c>
      <c r="B14" s="13">
        <v>0</v>
      </c>
      <c r="C14" s="14" t="s">
        <v>145</v>
      </c>
      <c r="D14" s="16">
        <f>SUMIFS(FLUXOVENDA!K:K,FLUXOVENDA!C:C,CODVENDA!A14,FLUXOVENDA!N:N,CONFIG!$G$5)</f>
        <v>0</v>
      </c>
      <c r="E14" t="s">
        <v>146</v>
      </c>
      <c r="F14" t="s">
        <v>145</v>
      </c>
      <c r="G14" s="15">
        <v>0.96013888888888888</v>
      </c>
      <c r="I14" t="s">
        <v>151</v>
      </c>
      <c r="J14" s="8">
        <v>1</v>
      </c>
      <c r="K14" s="8">
        <v>11</v>
      </c>
      <c r="L14" t="s">
        <v>120</v>
      </c>
      <c r="M14" s="19">
        <v>43288</v>
      </c>
      <c r="N14" s="2">
        <v>7</v>
      </c>
      <c r="O14" s="12">
        <v>7</v>
      </c>
      <c r="P14" s="21">
        <v>10</v>
      </c>
    </row>
    <row r="15" spans="1:17" x14ac:dyDescent="0.25">
      <c r="A15" s="12">
        <v>14</v>
      </c>
      <c r="B15" s="13">
        <v>0</v>
      </c>
      <c r="C15" s="14" t="s">
        <v>145</v>
      </c>
      <c r="D15" s="16">
        <f>SUMIFS(FLUXOVENDA!K:K,FLUXOVENDA!C:C,CODVENDA!A15,FLUXOVENDA!N:N,CONFIG!$G$5)</f>
        <v>0</v>
      </c>
      <c r="E15" t="s">
        <v>146</v>
      </c>
      <c r="F15" t="s">
        <v>145</v>
      </c>
      <c r="G15" s="15">
        <v>0.38069444444444445</v>
      </c>
      <c r="I15" t="s">
        <v>147</v>
      </c>
      <c r="J15" s="8">
        <v>0</v>
      </c>
      <c r="K15" s="8">
        <v>14</v>
      </c>
      <c r="L15" t="s">
        <v>120</v>
      </c>
      <c r="M15" s="19">
        <v>43289</v>
      </c>
      <c r="N15" s="2">
        <v>8</v>
      </c>
      <c r="O15" s="12">
        <v>7</v>
      </c>
      <c r="P15" s="21">
        <v>14</v>
      </c>
    </row>
    <row r="16" spans="1:17" x14ac:dyDescent="0.25">
      <c r="A16" s="12">
        <v>15</v>
      </c>
      <c r="B16" s="13">
        <v>0</v>
      </c>
      <c r="C16" s="14" t="s">
        <v>145</v>
      </c>
      <c r="D16" s="16">
        <f>SUMIFS(FLUXOVENDA!K:K,FLUXOVENDA!C:C,CODVENDA!A16,FLUXOVENDA!N:N,CONFIG!$G$5)</f>
        <v>25</v>
      </c>
      <c r="E16" t="s">
        <v>130</v>
      </c>
      <c r="F16" t="s">
        <v>145</v>
      </c>
      <c r="G16" s="15">
        <v>0.38131944444444449</v>
      </c>
      <c r="H16" s="18">
        <v>0.50432870370370375</v>
      </c>
      <c r="P16" s="21">
        <f ca="1">SUMIFS(FLUXOVENDA!W:W,FLUXOVENDA!O:O,CODVENDA!M16,FLUXOVENDA!Z:Z,CONFIG!$G$3)</f>
        <v>0</v>
      </c>
      <c r="Q16" t="s">
        <v>155</v>
      </c>
    </row>
    <row r="17" spans="1:17" x14ac:dyDescent="0.25">
      <c r="A17" s="12">
        <v>16</v>
      </c>
      <c r="B17" s="13">
        <v>0</v>
      </c>
      <c r="C17" s="14" t="s">
        <v>145</v>
      </c>
      <c r="D17" s="16">
        <f>SUMIFS(FLUXOVENDA!K:K,FLUXOVENDA!C:C,CODVENDA!A17,FLUXOVENDA!N:N,CONFIG!$G$5)</f>
        <v>0</v>
      </c>
      <c r="E17" t="s">
        <v>146</v>
      </c>
      <c r="F17" t="s">
        <v>145</v>
      </c>
      <c r="G17" s="15">
        <v>0.49612268518518521</v>
      </c>
      <c r="I17" t="s">
        <v>147</v>
      </c>
      <c r="J17" s="8">
        <v>0</v>
      </c>
      <c r="K17" s="8">
        <v>28</v>
      </c>
      <c r="L17" t="s">
        <v>119</v>
      </c>
      <c r="M17" s="19">
        <v>43870</v>
      </c>
      <c r="N17" s="2">
        <v>9</v>
      </c>
      <c r="O17" s="12">
        <v>2</v>
      </c>
      <c r="P17" s="21">
        <v>28</v>
      </c>
    </row>
    <row r="18" spans="1:17" x14ac:dyDescent="0.25">
      <c r="A18" s="12">
        <v>17</v>
      </c>
      <c r="B18" s="13">
        <v>4</v>
      </c>
      <c r="C18" s="14" t="s">
        <v>37</v>
      </c>
      <c r="D18" s="16">
        <f>SUMIFS(FLUXOVENDA!K:K,FLUXOVENDA!C:C,CODVENDA!A18,FLUXOVENDA!N:N,CONFIG!$G$2)</f>
        <v>0</v>
      </c>
      <c r="E18" t="s">
        <v>146</v>
      </c>
      <c r="F18" t="s">
        <v>55</v>
      </c>
      <c r="G18" s="15">
        <v>0.49788194444444445</v>
      </c>
      <c r="H18" s="18">
        <v>0.49788194444444445</v>
      </c>
      <c r="I18" t="s">
        <v>147</v>
      </c>
      <c r="J18" s="8">
        <v>0</v>
      </c>
      <c r="K18" s="8">
        <v>63</v>
      </c>
      <c r="L18" t="s">
        <v>119</v>
      </c>
      <c r="M18" s="19">
        <v>43870</v>
      </c>
      <c r="N18" s="2">
        <v>9</v>
      </c>
      <c r="O18" s="12">
        <v>2</v>
      </c>
      <c r="P18" s="21">
        <v>63</v>
      </c>
      <c r="Q18" t="s">
        <v>154</v>
      </c>
    </row>
    <row r="19" spans="1:17" x14ac:dyDescent="0.25">
      <c r="A19" s="12">
        <v>18</v>
      </c>
      <c r="B19" s="13">
        <v>6</v>
      </c>
      <c r="C19" s="14" t="s">
        <v>39</v>
      </c>
      <c r="D19" s="16">
        <f>SUMIFS(FLUXOVENDA!K:K,FLUXOVENDA!C:C,CODVENDA!A19,FLUXOVENDA!N:N,CONFIG!$G$2)</f>
        <v>25</v>
      </c>
      <c r="E19" t="s">
        <v>103</v>
      </c>
      <c r="F19" t="s">
        <v>60</v>
      </c>
      <c r="G19" s="15">
        <v>0.50289351851851849</v>
      </c>
      <c r="P19" s="21">
        <f ca="1">SUMIFS(FLUXOVENDA!W:W,FLUXOVENDA!O:O,CODVENDA!M19,FLUXOVENDA!Z:Z,CONFIG!$G$3)</f>
        <v>0</v>
      </c>
    </row>
    <row r="20" spans="1:17" x14ac:dyDescent="0.25">
      <c r="A20" s="12">
        <v>19</v>
      </c>
      <c r="B20" s="13">
        <v>0</v>
      </c>
      <c r="C20" s="14" t="s">
        <v>145</v>
      </c>
      <c r="D20" s="16">
        <f>SUMIFS(FLUXOVENDA!K:K,FLUXOVENDA!C:C,CODVENDA!A20,FLUXOVENDA!N:N,CONFIG!$G$5)</f>
        <v>0</v>
      </c>
      <c r="E20" t="s">
        <v>146</v>
      </c>
      <c r="F20" t="s">
        <v>145</v>
      </c>
      <c r="G20" s="15">
        <v>0.50383101851851853</v>
      </c>
      <c r="I20" t="s">
        <v>147</v>
      </c>
      <c r="J20" s="8">
        <v>0</v>
      </c>
      <c r="K20" s="8">
        <v>30</v>
      </c>
      <c r="L20" t="s">
        <v>119</v>
      </c>
      <c r="M20" s="19">
        <v>43870</v>
      </c>
      <c r="N20" s="2">
        <v>9</v>
      </c>
      <c r="O20" s="12">
        <v>2</v>
      </c>
      <c r="P20" s="21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D31"/>
  <sheetViews>
    <sheetView topLeftCell="A16" workbookViewId="0">
      <selection activeCell="C11" sqref="C11"/>
    </sheetView>
  </sheetViews>
  <sheetFormatPr defaultRowHeight="15" x14ac:dyDescent="0.25"/>
  <cols>
    <col min="1" max="1" width="38.85546875" bestFit="1" customWidth="1"/>
    <col min="2" max="2" width="19.28515625" style="7" bestFit="1" customWidth="1"/>
    <col min="3" max="3" width="11.7109375" style="20" bestFit="1" customWidth="1"/>
    <col min="4" max="4" width="9.140625" style="22"/>
  </cols>
  <sheetData>
    <row r="1" spans="1:4" x14ac:dyDescent="0.25">
      <c r="A1" t="s">
        <v>114</v>
      </c>
      <c r="B1" s="7">
        <f ca="1">DAY(TODAY())</f>
        <v>9</v>
      </c>
      <c r="C1" s="20">
        <f ca="1">IF(CODVENDA!N:N = "", 0, SUMIF(CODVENDA!N:N,RESUMO!B1,CODVENDA!K:K))</f>
        <v>135.30000000000001</v>
      </c>
    </row>
    <row r="2" spans="1:4" x14ac:dyDescent="0.25">
      <c r="A2" t="s">
        <v>118</v>
      </c>
      <c r="C2" s="20">
        <f ca="1">SUMIF(CODVENDA!O:O,RESUMO!B3,CODVENDA!K:K)</f>
        <v>135.30000000000001</v>
      </c>
    </row>
    <row r="3" spans="1:4" x14ac:dyDescent="0.25">
      <c r="A3" t="s">
        <v>113</v>
      </c>
      <c r="B3" s="7">
        <f ca="1">MONTH(TODAY())</f>
        <v>2</v>
      </c>
      <c r="C3" s="20">
        <f ca="1">SUMIF(FLUXOVENDA!O:O,RESUMO!B3,FLUXOVENDA!K:K)</f>
        <v>221</v>
      </c>
    </row>
    <row r="4" spans="1:4" x14ac:dyDescent="0.25">
      <c r="A4" t="s">
        <v>115</v>
      </c>
      <c r="B4" s="7">
        <f ca="1">B1</f>
        <v>9</v>
      </c>
      <c r="C4" s="20">
        <f ca="1">SUMIF(CODVENDA!N:N,RESUMO!B1,CODVENDA!J:J)</f>
        <v>1.3</v>
      </c>
    </row>
    <row r="5" spans="1:4" x14ac:dyDescent="0.25">
      <c r="A5" t="s">
        <v>116</v>
      </c>
      <c r="C5" s="20">
        <f ca="1">SUMIF(CODVENDA!O:O,RESUMO!B3,CODVENDA!J:J)</f>
        <v>1.3</v>
      </c>
    </row>
    <row r="6" spans="1:4" x14ac:dyDescent="0.25">
      <c r="A6" t="s">
        <v>121</v>
      </c>
      <c r="B6" s="7" t="s">
        <v>119</v>
      </c>
      <c r="C6" s="20">
        <f ca="1">SUMIFS(CODVENDA!K:K,CODVENDA!L:L,RESUMO!B6,CODVENDA!N:N,RESUMO!B1)</f>
        <v>135.30000000000001</v>
      </c>
      <c r="D6" s="22">
        <f ca="1">IF($C$1=0,0,C6/$C$1)</f>
        <v>1</v>
      </c>
    </row>
    <row r="7" spans="1:4" x14ac:dyDescent="0.25">
      <c r="A7" t="s">
        <v>122</v>
      </c>
      <c r="B7" s="7" t="s">
        <v>120</v>
      </c>
      <c r="C7" s="20">
        <f ca="1">SUMIFS(CODVENDA!K:K,CODVENDA!L:L,RESUMO!B7,CODVENDA!N:N,RESUMO!B1)</f>
        <v>0</v>
      </c>
      <c r="D7" s="22">
        <f ca="1">IF($C$1=0,0,C7/$C$1)</f>
        <v>0</v>
      </c>
    </row>
    <row r="8" spans="1:4" x14ac:dyDescent="0.25">
      <c r="A8" t="s">
        <v>125</v>
      </c>
      <c r="B8" s="7" t="s">
        <v>126</v>
      </c>
      <c r="C8" s="20">
        <f ca="1">SUMIFS(CODVENDA!K:K,CODVENDA!L:L,RESUMO!B8,CODVENDA!N:N,RESUMO!B1)</f>
        <v>0</v>
      </c>
      <c r="D8" s="22">
        <f ca="1">IF($C$1=0,0,C8/$C$1)</f>
        <v>0</v>
      </c>
    </row>
    <row r="9" spans="1:4" x14ac:dyDescent="0.25">
      <c r="A9" t="s">
        <v>123</v>
      </c>
      <c r="B9" s="7" t="s">
        <v>119</v>
      </c>
      <c r="C9" s="20">
        <f ca="1">SUMIFS(CODVENDA!K:K,CODVENDA!L:L,RESUMO!B6,CODVENDA!O:O,RESUMO!B3)</f>
        <v>135.30000000000001</v>
      </c>
    </row>
    <row r="10" spans="1:4" x14ac:dyDescent="0.25">
      <c r="A10" t="s">
        <v>124</v>
      </c>
      <c r="B10" s="7" t="s">
        <v>120</v>
      </c>
      <c r="C10" s="20">
        <f ca="1">SUMIFS(CODVENDA!K:K,CODVENDA!L:L,RESUMO!B7,CODVENDA!O:O,RESUMO!B3)</f>
        <v>0</v>
      </c>
    </row>
    <row r="11" spans="1:4" x14ac:dyDescent="0.25">
      <c r="A11" s="1" t="s">
        <v>9</v>
      </c>
      <c r="B11" s="7" t="s">
        <v>126</v>
      </c>
      <c r="C11" s="20">
        <f ca="1">SUMIFS(CODVENDA!K:K,CODVENDA!L:L,RESUMO!B8,CODVENDA!O:O,RESUMO!B3)</f>
        <v>0</v>
      </c>
    </row>
    <row r="12" spans="1:4" x14ac:dyDescent="0.25">
      <c r="A12" s="1"/>
    </row>
    <row r="14" spans="1:4" x14ac:dyDescent="0.25">
      <c r="A14" t="s">
        <v>127</v>
      </c>
    </row>
    <row r="15" spans="1:4" x14ac:dyDescent="0.25">
      <c r="A15" t="s">
        <v>128</v>
      </c>
      <c r="B15" s="7" t="str">
        <f>FUNCIONARIO!B2</f>
        <v>DENIS BARRETO</v>
      </c>
      <c r="C15" s="20">
        <f ca="1">SUMIFS(FLUXOVENDA!K:K,FLUXOVENDA!H:H,RESUMO!B15,FLUXOVENDA!O:O,RESUMO!$B$3)</f>
        <v>0</v>
      </c>
      <c r="D15" s="22">
        <f ca="1">IF($C$2=0, "-",C15/$C$2)</f>
        <v>0</v>
      </c>
    </row>
    <row r="16" spans="1:4" x14ac:dyDescent="0.25">
      <c r="A16" t="s">
        <v>128</v>
      </c>
      <c r="B16" s="7" t="str">
        <f>FUNCIONARIO!B3</f>
        <v>WELLINGTON SOUZA</v>
      </c>
      <c r="C16" s="20">
        <f ca="1">SUMIFS(FLUXOVENDA!K:K,FLUXOVENDA!H:H,RESUMO!B16,FLUXOVENDA!O:O,RESUMO!$B$3)</f>
        <v>63</v>
      </c>
      <c r="D16" s="22">
        <f ca="1">IF($C$2=0, "-",C16/$C$2)</f>
        <v>0.46563192904656314</v>
      </c>
    </row>
    <row r="17" spans="1:4" x14ac:dyDescent="0.25">
      <c r="A17" t="s">
        <v>128</v>
      </c>
      <c r="B17" s="7" t="str">
        <f>FUNCIONARIO!B4</f>
        <v>DAIANE BARRETO</v>
      </c>
      <c r="C17" s="20">
        <f ca="1">SUMIFS(FLUXOVENDA!K:K,FLUXOVENDA!H:H,RESUMO!B17,FLUXOVENDA!O:O,RESUMO!$B$3)</f>
        <v>0</v>
      </c>
      <c r="D17" s="22">
        <f ca="1">IF($C$2=0, "-",C17/$C$2)</f>
        <v>0</v>
      </c>
    </row>
    <row r="18" spans="1:4" x14ac:dyDescent="0.25">
      <c r="A18" t="s">
        <v>128</v>
      </c>
      <c r="B18" s="7" t="str">
        <f>FUNCIONARIO!B5</f>
        <v>WAGNER GOMES</v>
      </c>
      <c r="C18" s="20">
        <f ca="1">SUMIFS(FLUXOVENDA!K:K,FLUXOVENDA!H:H,RESUMO!B18,FLUXOVENDA!O:O,RESUMO!$B$3)</f>
        <v>25</v>
      </c>
      <c r="D18" s="22">
        <f ca="1">IF($C$2=0, "-",C18/$C$2)</f>
        <v>0.18477457501847744</v>
      </c>
    </row>
    <row r="19" spans="1:4" x14ac:dyDescent="0.25">
      <c r="A19" t="s">
        <v>128</v>
      </c>
      <c r="B19" s="7" t="str">
        <f>FUNCIONARIO!B6</f>
        <v>CLIENTE</v>
      </c>
      <c r="C19" s="20">
        <f ca="1">SUMIFS(FLUXOVENDA!K:K,FLUXOVENDA!H:H,RESUMO!B19,FLUXOVENDA!O:O,RESUMO!$B$3)</f>
        <v>0</v>
      </c>
      <c r="D19" s="22">
        <f ca="1">IF($C$2=0, "-",C19/$C$2)</f>
        <v>0</v>
      </c>
    </row>
    <row r="21" spans="1:4" x14ac:dyDescent="0.25">
      <c r="A21" t="s">
        <v>117</v>
      </c>
      <c r="B21" s="7" t="str">
        <f>B15</f>
        <v>DENIS BARRETO</v>
      </c>
      <c r="C21" s="20">
        <f ca="1">SUMIFS(FLUXOVENDA!K:K,FLUXOVENDA!Q:Q,RESUMO!$B$1,FLUXOVENDA!H:H,RESUMO!B21)</f>
        <v>0</v>
      </c>
      <c r="D21" s="22">
        <f ca="1">IF($C$1=0,0,C21/$C$1)</f>
        <v>0</v>
      </c>
    </row>
    <row r="22" spans="1:4" x14ac:dyDescent="0.25">
      <c r="A22" t="s">
        <v>117</v>
      </c>
      <c r="B22" s="7" t="str">
        <f>B16</f>
        <v>WELLINGTON SOUZA</v>
      </c>
      <c r="C22" s="20">
        <f ca="1">SUMIFS(FLUXOVENDA!K:K,FLUXOVENDA!Q:Q,RESUMO!$B$1,FLUXOVENDA!H:H,RESUMO!B22)</f>
        <v>63</v>
      </c>
      <c r="D22" s="22">
        <f ca="1">IF($C$1=0,0,C22/$C$1)</f>
        <v>0.46563192904656314</v>
      </c>
    </row>
    <row r="23" spans="1:4" x14ac:dyDescent="0.25">
      <c r="A23" t="s">
        <v>117</v>
      </c>
      <c r="B23" s="7" t="str">
        <f>B17</f>
        <v>DAIANE BARRETO</v>
      </c>
      <c r="C23" s="20">
        <f ca="1">SUMIFS(FLUXOVENDA!K:K,FLUXOVENDA!Q:Q,RESUMO!$B$1,FLUXOVENDA!H:H,RESUMO!B23)</f>
        <v>0</v>
      </c>
      <c r="D23" s="22">
        <f ca="1">IF($C$1=0,0,C23/$C$1)</f>
        <v>0</v>
      </c>
    </row>
    <row r="24" spans="1:4" x14ac:dyDescent="0.25">
      <c r="A24" t="s">
        <v>117</v>
      </c>
      <c r="B24" s="7" t="str">
        <f>B18</f>
        <v>WAGNER GOMES</v>
      </c>
      <c r="C24" s="20">
        <f ca="1">SUMIFS(FLUXOVENDA!K:K,FLUXOVENDA!Q:Q,RESUMO!$B$1,FLUXOVENDA!H:H,RESUMO!B24)</f>
        <v>0</v>
      </c>
      <c r="D24" s="22">
        <f ca="1">IF($C$1=0,0,C24/$C$1)</f>
        <v>0</v>
      </c>
    </row>
    <row r="25" spans="1:4" x14ac:dyDescent="0.25">
      <c r="B25" s="7" t="str">
        <f>B19</f>
        <v>CLIENTE</v>
      </c>
      <c r="C25" s="20">
        <f ca="1">SUMIFS(FLUXOVENDA!K:K,FLUXOVENDA!Q:Q,RESUMO!$B$1,FLUXOVENDA!H:H,RESUMO!B25)</f>
        <v>13</v>
      </c>
      <c r="D25" s="22">
        <f ca="1">IF($C$1=0,0,C25/$C$1)</f>
        <v>9.6082779009608266E-2</v>
      </c>
    </row>
    <row r="27" spans="1:4" x14ac:dyDescent="0.25">
      <c r="A27" t="s">
        <v>101</v>
      </c>
      <c r="B27" s="7" t="str">
        <f>B21</f>
        <v>DENIS BARRETO</v>
      </c>
      <c r="C27" s="20">
        <f ca="1">SUMIFS(FLUXOVENDA!K:K,FLUXOVENDA!O:O,RESUMO!$B$3,FLUXOVENDA!H:H,RESUMO!B27)</f>
        <v>0</v>
      </c>
      <c r="D27" s="22">
        <f ca="1">IF($C$2=0,"-",C27/$C$2)</f>
        <v>0</v>
      </c>
    </row>
    <row r="28" spans="1:4" x14ac:dyDescent="0.25">
      <c r="A28" t="s">
        <v>101</v>
      </c>
      <c r="B28" s="7" t="str">
        <f>B22</f>
        <v>WELLINGTON SOUZA</v>
      </c>
      <c r="C28" s="20">
        <f ca="1">SUMIFS(FLUXOVENDA!K:K,FLUXOVENDA!O:O,RESUMO!$B$3,FLUXOVENDA!H:H,RESUMO!B28)</f>
        <v>63</v>
      </c>
      <c r="D28" s="22">
        <f ca="1">IF($C$2=0,"-",C28/$C$2)</f>
        <v>0.46563192904656314</v>
      </c>
    </row>
    <row r="29" spans="1:4" x14ac:dyDescent="0.25">
      <c r="A29" t="s">
        <v>101</v>
      </c>
      <c r="B29" s="7" t="str">
        <f>B23</f>
        <v>DAIANE BARRETO</v>
      </c>
      <c r="C29" s="20">
        <f ca="1">SUMIFS(FLUXOVENDA!K:K,FLUXOVENDA!O:O,RESUMO!$B$3,FLUXOVENDA!H:H,RESUMO!B29)</f>
        <v>0</v>
      </c>
      <c r="D29" s="22">
        <f ca="1">IF($C$2=0,"-",C29/$C$2)</f>
        <v>0</v>
      </c>
    </row>
    <row r="30" spans="1:4" x14ac:dyDescent="0.25">
      <c r="A30" t="s">
        <v>101</v>
      </c>
      <c r="B30" s="7" t="str">
        <f>B24</f>
        <v>WAGNER GOMES</v>
      </c>
      <c r="C30" s="20">
        <f ca="1">SUMIFS(FLUXOVENDA!K:K,FLUXOVENDA!O:O,RESUMO!$B$3,FLUXOVENDA!H:H,RESUMO!B30)</f>
        <v>25</v>
      </c>
      <c r="D30" s="22">
        <f ca="1">IF($C$2=0,"-",C30/$C$2)</f>
        <v>0.18477457501847744</v>
      </c>
    </row>
    <row r="31" spans="1:4" x14ac:dyDescent="0.25">
      <c r="A31" t="s">
        <v>101</v>
      </c>
      <c r="B31" s="7" t="str">
        <f>B25</f>
        <v>CLIENTE</v>
      </c>
      <c r="C31" s="20">
        <f ca="1">SUMIFS(FLUXOVENDA!K:K,FLUXOVENDA!O:O,RESUMO!$B$3,FLUXOVENDA!H:H,RESUMO!B31)</f>
        <v>0</v>
      </c>
      <c r="D31" s="22">
        <f ca="1">IF($C$2=0,"-",C31/$C$2)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D12"/>
  <sheetViews>
    <sheetView workbookViewId="0">
      <selection activeCell="M13" sqref="M13"/>
    </sheetView>
  </sheetViews>
  <sheetFormatPr defaultRowHeight="15" x14ac:dyDescent="0.25"/>
  <sheetData>
    <row r="12" spans="4:4" x14ac:dyDescent="0.25">
      <c r="D12" s="3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Planilha1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Washington Souza</cp:lastModifiedBy>
  <dcterms:created xsi:type="dcterms:W3CDTF">2016-12-17T16:08:30Z</dcterms:created>
  <dcterms:modified xsi:type="dcterms:W3CDTF">2020-02-09T15:09:42Z</dcterms:modified>
</cp:coreProperties>
</file>